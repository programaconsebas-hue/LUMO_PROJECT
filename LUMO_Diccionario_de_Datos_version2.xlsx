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e" sheetId="1" state="visible" r:id="rId3"/>
    <sheet name="Cambios_v2" sheetId="2" state="visible" r:id="rId4"/>
    <sheet name="1_Identidad_Perfil" sheetId="3" state="visible" r:id="rId5"/>
    <sheet name="2_Propietario" sheetId="4" state="visible" r:id="rId6"/>
    <sheet name="3_Conductor_Reservas" sheetId="5" state="visible" r:id="rId7"/>
    <sheet name="4_Pagos_Facturacion" sheetId="6" state="visible" r:id="rId8"/>
    <sheet name="5_Comunicacion_Confianza" sheetId="7" state="visible" r:id="rId9"/>
    <sheet name="Relaciones" sheetId="8" state="visible" r:id="rId10"/>
    <sheet name="Claves_CONFIGURACION" sheetId="9" state="visible" r:id="rId11"/>
    <sheet name="Tipos_y_Convenciones" sheetId="10" state="visible" r:id="rId12"/>
  </sheets>
  <definedNames>
    <definedName function="false" hidden="true" localSheetId="2" name="_xlnm._FilterDatabase" vbProcedure="false">1_Identidad_Perfil!$A$1:$K$61</definedName>
    <definedName function="false" hidden="true" localSheetId="3" name="_xlnm._FilterDatabase" vbProcedure="false">2_Propietario!$A$1:$K$60</definedName>
    <definedName function="false" hidden="true" localSheetId="4" name="_xlnm._FilterDatabase" vbProcedure="false">3_Conductor_Reservas!$A$1:$K$42</definedName>
    <definedName function="false" hidden="true" localSheetId="5" name="_xlnm._FilterDatabase" vbProcedure="false">4_Pagos_Facturacion!$A$1:$K$64</definedName>
    <definedName function="false" hidden="true" localSheetId="6" name="_xlnm._FilterDatabase" vbProcedure="false">5_Comunicacion_Confianza!$A$1:$K$63</definedName>
    <definedName function="false" hidden="true" localSheetId="1" name="_xlnm._FilterDatabase" vbProcedure="false">Cambios_v2!$A$1:$F$23</definedName>
    <definedName function="false" hidden="true" localSheetId="0" name="_xlnm._FilterDatabase" vbProcedure="false">Indice!$A$4:$H$37</definedName>
    <definedName function="false" hidden="true" localSheetId="7" name="_xlnm._FilterDatabase" vbProcedure="false">Relaciones!$A$1:$G$57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<sst xmlns="http://schemas.openxmlformats.org/spreadsheetml/2006/main" count="2720" uniqueCount="726">
  <si>
    <t xml:space="preserve">LUMO — Diccionario de datos v2 (DER completo)</t>
  </si>
  <si>
    <t xml:space="preserve">Las 77 HU más los diagramas del documento DIAGRAMAS_LUMO. Hojas: Cambios_v2 (qué cambió), un módulo por hoja, Relaciones, Claves_CONFIGURACION y Tipos_y_Convenciones.</t>
  </si>
  <si>
    <t xml:space="preserve">#</t>
  </si>
  <si>
    <t xml:space="preserve">Tabla</t>
  </si>
  <si>
    <t xml:space="preserve">Módulo (clic para abrir)</t>
  </si>
  <si>
    <t xml:space="preserve">Fase</t>
  </si>
  <si>
    <t xml:space="preserve">HU relacionadas</t>
  </si>
  <si>
    <t xml:space="preserve">Descripción</t>
  </si>
  <si>
    <t xml:space="preserve">N° de campos</t>
  </si>
  <si>
    <t xml:space="preserve">Nivel de dibujo</t>
  </si>
  <si>
    <t xml:space="preserve">USUARIO</t>
  </si>
  <si>
    <t xml:space="preserve">Identidad y perfil</t>
  </si>
  <si>
    <t xml:space="preserve">MVP</t>
  </si>
  <si>
    <t xml:space="preserve">HU-001 a 013, 058</t>
  </si>
  <si>
    <t xml:space="preserve">Una sola tabla para conductores, propietarios y administradores; los roles son banderas booleanas.</t>
  </si>
  <si>
    <t xml:space="preserve">TOKEN_USUARIO</t>
  </si>
  <si>
    <t xml:space="preserve">HU-001, 003, 008</t>
  </si>
  <si>
    <t xml:space="preserve">Códigos de un solo uso para verificar el correo y recuperar la contraseña.</t>
  </si>
  <si>
    <t xml:space="preserve">SESION</t>
  </si>
  <si>
    <t xml:space="preserve">HU-002, 007</t>
  </si>
  <si>
    <t xml:space="preserve">Sesiones activas, para poder invalidarlas al cerrar sesión (HU-007). Si usas solo JWT sin estado, esta tabla no es necesaria.</t>
  </si>
  <si>
    <t xml:space="preserve">DISPOSITIVO</t>
  </si>
  <si>
    <t xml:space="preserve">HU-060 a 064; doc. componente Notificaciones (push/FCM)</t>
  </si>
  <si>
    <t xml:space="preserve">Dispositivos del usuario para enviarle notificaciones push. Necesaria solo si se usa el canal push.</t>
  </si>
  <si>
    <t xml:space="preserve">METODO_AUTENTICACION</t>
  </si>
  <si>
    <t xml:space="preserve">F2</t>
  </si>
  <si>
    <t xml:space="preserve">HU-004 a 006</t>
  </si>
  <si>
    <t xml:space="preserve">Cuentas vinculadas: Google (F2); Apple y Facebook (F3).</t>
  </si>
  <si>
    <t xml:space="preserve">VEHICULO</t>
  </si>
  <si>
    <t xml:space="preserve">HU-011, 012</t>
  </si>
  <si>
    <t xml:space="preserve">Vehículos del conductor; un usuario puede registrar varios.</t>
  </si>
  <si>
    <t xml:space="preserve">VERIFICACION_IDENTIDAD</t>
  </si>
  <si>
    <t xml:space="preserve">HU-010</t>
  </si>
  <si>
    <t xml:space="preserve">Verificación de identidad (KYC): documento y selfie.</t>
  </si>
  <si>
    <t xml:space="preserve">PARQUEADERO</t>
  </si>
  <si>
    <t xml:space="preserve">Propietario (gestión de espacios)</t>
  </si>
  <si>
    <t xml:space="preserve">HU-014 a 016, 019 a 022, 027, 073</t>
  </si>
  <si>
    <t xml:space="preserve">Lugar (garaje, lote o edificio) publicado por un propietario. Tiene uno o varios espacios (ESPACIO_PARQUEADERO) e incluye su ubicación (clase Ubicacion del documento).</t>
  </si>
  <si>
    <t xml:space="preserve">TIPO_DE_PARQUEADERO</t>
  </si>
  <si>
    <t xml:space="preserve">HU-014; doc. EspacioParqueadero.tipoEspacio</t>
  </si>
  <si>
    <t xml:space="preserve">Catálogo de tipos de espacio (la tabla que ya creaste). Reemplaza al campo tipo_espacio de PARQUEADERO.</t>
  </si>
  <si>
    <t xml:space="preserve">ESPACIO_PARQUEADERO</t>
  </si>
  <si>
    <t xml:space="preserve">HU-014, 030; doc. clase EspacioParqueadero</t>
  </si>
  <si>
    <t xml:space="preserve">Cada espacio reservable dentro de un parqueadero. La reserva se hace sobre un espacio, no sobre el parqueadero completo.</t>
  </si>
  <si>
    <t xml:space="preserve">FOTO_PARQUEADERO</t>
  </si>
  <si>
    <t xml:space="preserve">HU-014, 015</t>
  </si>
  <si>
    <t xml:space="preserve">Fotos de un parqueadero (mínimo 1 para publicar).</t>
  </si>
  <si>
    <t xml:space="preserve">TARIFA</t>
  </si>
  <si>
    <t xml:space="preserve">HU-018, 019; doc. clase Tarifa y sección 3.4</t>
  </si>
  <si>
    <t xml:space="preserve">Tarifas vigentes: globales, por parqueadero o por espacio. Reemplaza a PRECIO_PARQUEADERO y permite tarifa por minuto y por tipo de automotor. El precio dinámico (ubicación, demanda, distancia, características) lo calcula el backend; el resultado se guarda en RESERVA.precio_aplicado.</t>
  </si>
  <si>
    <t xml:space="preserve">DISPONIBILIDAD</t>
  </si>
  <si>
    <t xml:space="preserve">HU-017, 067</t>
  </si>
  <si>
    <t xml:space="preserve">Horario semanal recurrente en que el espacio está disponible.</t>
  </si>
  <si>
    <t xml:space="preserve">BLOQUEO_PARQUEADERO</t>
  </si>
  <si>
    <t xml:space="preserve">HU-017, 067, 070</t>
  </si>
  <si>
    <t xml:space="preserve">Bloqueos manuales puntuales (un día específico o 'no disponible temporalmente'). Los horarios ya reservados NO se guardan aquí: salen de RESERVA.</t>
  </si>
  <si>
    <t xml:space="preserve">RESERVA</t>
  </si>
  <si>
    <t xml:space="preserve">Conductor (búsqueda y reserva)</t>
  </si>
  <si>
    <t xml:space="preserve">HU-030 a 035, 070, 071, 074; doc. secuencia y clase Reserva</t>
  </si>
  <si>
    <t xml:space="preserve">Nodo central: conecta espacio, conductor, vehículo, pagos, OTP, chat y calificaciones. Incluye la ventana reservada y los tiempos reales de entrada y salida.</t>
  </si>
  <si>
    <t xml:space="preserve">OTP</t>
  </si>
  <si>
    <t xml:space="preserve">Doc. secuencia 2.15 a 2.18, 3.2 a 3.7, 5.1 a 5.6; componente Servicio OTP</t>
  </si>
  <si>
    <t xml:space="preserve">Códigos de un solo uso para validar la entrada y la salida de una reserva. Se generan al menos dos por reserva (entrada y salida).</t>
  </si>
  <si>
    <t xml:space="preserve">EXTENSION_RESERVA</t>
  </si>
  <si>
    <t xml:space="preserve">HU-034</t>
  </si>
  <si>
    <t xml:space="preserve">Historial de extensiones de tiempo de una reserva.</t>
  </si>
  <si>
    <t xml:space="preserve">FAVORITO</t>
  </si>
  <si>
    <t xml:space="preserve">F3</t>
  </si>
  <si>
    <t xml:space="preserve">HU-029</t>
  </si>
  <si>
    <t xml:space="preserve">Relación N:M entre usuarios y parqueaderos guardados. PK compuesta, sin columna id.</t>
  </si>
  <si>
    <t xml:space="preserve">PAGO</t>
  </si>
  <si>
    <t xml:space="preserve">Pagos y facturación</t>
  </si>
  <si>
    <t xml:space="preserve">HU-036 a 039, 041 a 043, 047, 068; doc. clase Pago</t>
  </si>
  <si>
    <t xml:space="preserve">Transacciones en línea procesadas por la pasarela externa (depósito y pago final). LUMO no guarda datos de tarjeta.</t>
  </si>
  <si>
    <t xml:space="preserve">METODO_PAGO</t>
  </si>
  <si>
    <t xml:space="preserve">HU-036 a 039; doc. clase MetodoPago</t>
  </si>
  <si>
    <t xml:space="preserve">Catálogo de métodos de pago habilitados (tarjeta, PSE, Nequi, Daviplata...).</t>
  </si>
  <si>
    <t xml:space="preserve">DEUDA_CONDUCTOR</t>
  </si>
  <si>
    <t xml:space="preserve">Doc. secuencia 5.20 a 5.22; componente Administración (gestión de deudas)</t>
  </si>
  <si>
    <t xml:space="preserve">Deuda del conductor cuando el pago final falla pero la reserva se finaliza. Es distinta de SALDO_PENDIENTE, que es la deuda del propietario por comisiones en efectivo.</t>
  </si>
  <si>
    <t xml:space="preserve">SALDO_PENDIENTE</t>
  </si>
  <si>
    <t xml:space="preserve">HU-074 a 077</t>
  </si>
  <si>
    <t xml:space="preserve">Una fila por comisión adeudada por pagos en efectivo. El saldo del propietario es la suma de las filas 'pendiente'; si supera el tope (CONFIGURACION: tope_saldo_efectivo), se restringe aceptar más reservas en efectivo.</t>
  </si>
  <si>
    <t xml:space="preserve">CUENTA_COBRO</t>
  </si>
  <si>
    <t xml:space="preserve">HU-044</t>
  </si>
  <si>
    <t xml:space="preserve">Cuenta bancaria o billetera donde el propietario recibe sus pagos. Preferible guardar solo la referencia a la subcuenta de la pasarela, no datos bancarios.</t>
  </si>
  <si>
    <t xml:space="preserve">PAYOUT</t>
  </si>
  <si>
    <t xml:space="preserve">HU-045, 046, 068, 077</t>
  </si>
  <si>
    <t xml:space="preserve">Transferencia al propietario con su parte neta.</t>
  </si>
  <si>
    <t xml:space="preserve">FACTURA</t>
  </si>
  <si>
    <t xml:space="preserve">HU-040</t>
  </si>
  <si>
    <t xml:space="preserve">Factura o comprobante descargable de una reserva pagada (caso de uso 'Generar comprobante').</t>
  </si>
  <si>
    <t xml:space="preserve">CONFIGURACION</t>
  </si>
  <si>
    <t xml:space="preserve">HU-002, 003, 015, 018, 021, 024, 031, 032, 042, 061, 075</t>
  </si>
  <si>
    <t xml:space="preserve">Parámetros globales (reemplaza a CONFIGURACION_COMISION). Sin llaves foráneas. Ver hoja Claves_CONFIGURACION.</t>
  </si>
  <si>
    <t xml:space="preserve">MENSAJE</t>
  </si>
  <si>
    <t xml:space="preserve">Comunicación, confianza y soporte</t>
  </si>
  <si>
    <t xml:space="preserve">HU-048 a 051</t>
  </si>
  <si>
    <t xml:space="preserve">Chat asociado siempre a una reserva. Solo está habilitado mientras la reserva está activa (reservada o en_uso) y se deshabilita al finalizar. El receptor es la otra parte de la reserva.</t>
  </si>
  <si>
    <t xml:space="preserve">CALIFICACION</t>
  </si>
  <si>
    <t xml:space="preserve">HU-052 a 054</t>
  </si>
  <si>
    <t xml:space="preserve">Calificaciones entre las partes de una reserva finalizada: una por reserva y tipo.</t>
  </si>
  <si>
    <t xml:space="preserve">REPORTE</t>
  </si>
  <si>
    <t xml:space="preserve">HU-055, 057</t>
  </si>
  <si>
    <t xml:space="preserve">Reportes de un usuario contra otro. Crear es MVP; revisarlos es Fase 2.</t>
  </si>
  <si>
    <t xml:space="preserve">SANCION</t>
  </si>
  <si>
    <t xml:space="preserve">HU-057, 058</t>
  </si>
  <si>
    <t xml:space="preserve">Sanciones aplicadas por un administrador.</t>
  </si>
  <si>
    <t xml:space="preserve">TICKET_SOPORTE</t>
  </si>
  <si>
    <t xml:space="preserve">HU-059</t>
  </si>
  <si>
    <t xml:space="preserve">Solicitudes de soporte dentro de la app. SLA de respuesta por definir.</t>
  </si>
  <si>
    <t xml:space="preserve">NOTIFICACION</t>
  </si>
  <si>
    <t xml:space="preserve">HU-060 a 065</t>
  </si>
  <si>
    <t xml:space="preserve">Notificaciones enviadas a los usuarios.</t>
  </si>
  <si>
    <t xml:space="preserve">PREFERENCIA_NOTIFICACION</t>
  </si>
  <si>
    <t xml:space="preserve">HU-065</t>
  </si>
  <si>
    <t xml:space="preserve">Qué tipos de notificación y por qué canal quiere recibir cada usuario. PK compuesta.</t>
  </si>
  <si>
    <t xml:space="preserve">Total de tablas</t>
  </si>
  <si>
    <t xml:space="preserve">Total de campos</t>
  </si>
  <si>
    <t xml:space="preserve">Tablas MVP</t>
  </si>
  <si>
    <t xml:space="preserve">Tablas Fase 2</t>
  </si>
  <si>
    <t xml:space="preserve">Tablas Fase 3</t>
  </si>
  <si>
    <t xml:space="preserve">Nivel de dibujo: 0 = tablas sin dependencias (dibújalas primero); luego 1, 2, 3... Así cada FK se crea sola al trazar la relación One-to-Many.</t>
  </si>
  <si>
    <t xml:space="preserve">Tipo de cambio</t>
  </si>
  <si>
    <t xml:space="preserve">Qué cambia</t>
  </si>
  <si>
    <t xml:space="preserve">Origen en el documento</t>
  </si>
  <si>
    <t xml:space="preserve">Qué hacer en Visual Paradigm</t>
  </si>
  <si>
    <t xml:space="preserve">Nueva tabla</t>
  </si>
  <si>
    <t xml:space="preserve">Cada espacio reservable dentro de un parqueadero. La reserva ahora apunta al espacio.</t>
  </si>
  <si>
    <t xml:space="preserve">Diagrama de clases (EspacioParqueadero); casos de uso 'Registrar espacios' y 'Seleccionar espacio'</t>
  </si>
  <si>
    <t xml:space="preserve">Crear la entidad; relación One-to-Many desde PARQUEADERO y desde TIPO_DE_PARQUEADERO.</t>
  </si>
  <si>
    <t xml:space="preserve">Catálogo de tipos de espacio. Ya la tenías dibujada; solo se documenta.</t>
  </si>
  <si>
    <t xml:space="preserve">EspacioParqueadero.tipoEspacio</t>
  </si>
  <si>
    <t xml:space="preserve">Ya existe en tu diagrama. Agregarle columnas y relacionarla con ESPACIO_PARQUEADERO.</t>
  </si>
  <si>
    <t xml:space="preserve">Códigos de entrada y salida de cada reserva.</t>
  </si>
  <si>
    <t xml:space="preserve">Diagrama de secuencia (2.15 a 3.7, 5.1 a 5.6); clase OTP</t>
  </si>
  <si>
    <t xml:space="preserve">Crear la entidad; One-to-Many desde RESERVA.</t>
  </si>
  <si>
    <t xml:space="preserve">Catálogo de métodos de pago. PAGO apunta a él.</t>
  </si>
  <si>
    <t xml:space="preserve">Clase MetodoPago</t>
  </si>
  <si>
    <t xml:space="preserve">Crear la entidad; One-to-Many hacia PAGO.</t>
  </si>
  <si>
    <t xml:space="preserve">Deuda del conductor cuando el pago final falla.</t>
  </si>
  <si>
    <t xml:space="preserve">Secuencia 5.20 a 5.22; componente Administración (gestión de deudas)</t>
  </si>
  <si>
    <t xml:space="preserve">Crear la entidad; One-to-Many desde RESERVA; FK opcional a PAGO.</t>
  </si>
  <si>
    <t xml:space="preserve">Tokens para notificaciones push.</t>
  </si>
  <si>
    <t xml:space="preserve">Componentes: servicio de notificaciones y mensajería (FCM)</t>
  </si>
  <si>
    <t xml:space="preserve">Crear la entidad; One-to-Many desde USUARIO.</t>
  </si>
  <si>
    <t xml:space="preserve">Renombrar</t>
  </si>
  <si>
    <t xml:space="preserve">PRECIO_PARQUEADERO → TARIFA</t>
  </si>
  <si>
    <t xml:space="preserve">Pasa a ser global, por parqueadero o por espacio; admite tarifa por minuto y por tipo de automotor; agrega precio mínimo, fracción mínima, moneda y vigencia.</t>
  </si>
  <si>
    <t xml:space="preserve">Clase Tarifa; sección 3.4 (tarifas por minuto y tipo de automotor)</t>
  </si>
  <si>
    <t xml:space="preserve">Renombrar la entidad y reemplazar sus columnas según la hoja 2_Propietario.</t>
  </si>
  <si>
    <t xml:space="preserve">Campos</t>
  </si>
  <si>
    <t xml:space="preserve">id_parqueadero se reemplaza por id_espacio. Se agregan codigo_reserva, id_tarifa, precio_aplicado, monto_deposito y notas.</t>
  </si>
  <si>
    <t xml:space="preserve">Clase Reserva; componente Cálculo de Precios</t>
  </si>
  <si>
    <t xml:space="preserve">Borrar la FK id_parqueadero y trazar la relación con ESPACIO_PARQUEADERO y con TARIFA.</t>
  </si>
  <si>
    <t xml:space="preserve">checkin_at y checkout_at pasan a ser hora_entrada_real y hora_salida_real (ahora son parte del flujo principal, no de Fase 2).</t>
  </si>
  <si>
    <t xml:space="preserve">Secuencia 3.5 y 5.5</t>
  </si>
  <si>
    <t xml:space="preserve">Renombrar las dos columnas.</t>
  </si>
  <si>
    <t xml:space="preserve">costo_total se divide en costo_estimado (al reservar) y costo_final (al salir, con el tiempo real).</t>
  </si>
  <si>
    <t xml:space="preserve">Secuencia 2.6 y 5.7 a 5.9</t>
  </si>
  <si>
    <t xml:space="preserve">Borrar costo_total y agregar las dos columnas.</t>
  </si>
  <si>
    <t xml:space="preserve">RESERVA.estado</t>
  </si>
  <si>
    <t xml:space="preserve">Valores: reservada, pendiente, en_uso, finalizada, cancelada, rechazada, expirada (antes en_proceso, confirmada y completada).</t>
  </si>
  <si>
    <t xml:space="preserve">Enumeración EstadoReserva</t>
  </si>
  <si>
    <t xml:space="preserve">Solo cambia la lista de valores permitidos; el tipo sigue siendo VARCHAR(20).</t>
  </si>
  <si>
    <t xml:space="preserve">Agrega tipo_pago (deposito o pago_final). medio_pago pasa a id_metodo_pago (FK). monto_bruto se llama ahora monto. referencia_pasarela es opcional.</t>
  </si>
  <si>
    <t xml:space="preserve">Clase Pago; nota del diagrama sobre depósito y pago final</t>
  </si>
  <si>
    <t xml:space="preserve">Borrar medio_pago, renombrar monto_bruto y trazar la relación con METODO_PAGO.</t>
  </si>
  <si>
    <t xml:space="preserve">Se quita tipo_espacio (pasa a ESPACIO_PARQUEADERO). Se agregan ciudad y zona (clase Ubicacion).</t>
  </si>
  <si>
    <t xml:space="preserve">Clases EspacioParqueadero y Ubicacion</t>
  </si>
  <si>
    <t xml:space="preserve">Borrar tipo_espacio; agregar ciudad y zona.</t>
  </si>
  <si>
    <t xml:space="preserve">Agrega id_espacio (opcional) para bloquear un solo espacio.</t>
  </si>
  <si>
    <t xml:space="preserve">Estado de espacio MANTENIMIENTO; caso de uso 'Actualizar disponibilidad'</t>
  </si>
  <si>
    <t xml:space="preserve">Trazar relación opcional con ESPACIO_PARQUEADERO.</t>
  </si>
  <si>
    <t xml:space="preserve">Agrega licencia_conduccion y razon_social (opcionales, F2). estado_cuenta pasa a: activo, inactivo, suspendido, bloqueado.</t>
  </si>
  <si>
    <t xml:space="preserve">Clases Conductor, Propietario y enumeración EstadoUsuario</t>
  </si>
  <si>
    <t xml:space="preserve">Agregar las dos columnas.</t>
  </si>
  <si>
    <t xml:space="preserve">Agrega foto_url (opcional). tipo_vehiculo con los valores del documento.</t>
  </si>
  <si>
    <t xml:space="preserve">Clase Vehiculo; enumeración TipoVehiculo</t>
  </si>
  <si>
    <t xml:space="preserve">Agregar la columna.</t>
  </si>
  <si>
    <t xml:space="preserve">Nuevas claves: monto_deposito y otp_vigencia_min.</t>
  </si>
  <si>
    <t xml:space="preserve">Clase Pago (depósito de monto fijo); componente Servicio OTP</t>
  </si>
  <si>
    <t xml:space="preserve">Sin cambio en la tabla; solo hay más filas posibles (hoja Claves_CONFIGURACION).</t>
  </si>
  <si>
    <t xml:space="preserve">Notas</t>
  </si>
  <si>
    <t xml:space="preserve">CALIFICACION, MENSAJE, NOTIFICACION</t>
  </si>
  <si>
    <t xml:space="preserve">CALIFICACION exige reserva finalizada; MENSAJE solo con reserva activa; NOTIFICACION con tipos nuevos.</t>
  </si>
  <si>
    <t xml:space="preserve">Secuencia y componentes</t>
  </si>
  <si>
    <t xml:space="preserve">Ningún cambio de columnas.</t>
  </si>
  <si>
    <t xml:space="preserve">Decisión</t>
  </si>
  <si>
    <t xml:space="preserve">Se mantienen las banderas es_conductor, es_propietario y es_administrador en vez del campo rol y las subclases Conductor y Propietario del diagrama de clases.</t>
  </si>
  <si>
    <t xml:space="preserve">Diagrama de clases (generalización)</t>
  </si>
  <si>
    <t xml:space="preserve">Sin cambios. Si prefieres subclases, se crearían dos tablas 1:1 con USUARIO.</t>
  </si>
  <si>
    <t xml:space="preserve">PARQUEADERO / Ubicacion</t>
  </si>
  <si>
    <t xml:space="preserve">La clase Ubicacion (1:1) se incrusta en PARQUEADERO como columnas, sin tabla aparte.</t>
  </si>
  <si>
    <t xml:space="preserve">Diagrama de clases (composición)</t>
  </si>
  <si>
    <t xml:space="preserve">Sin cambios.</t>
  </si>
  <si>
    <t xml:space="preserve">PARQUEADERO + ESPACIO_PARQUEADERO</t>
  </si>
  <si>
    <t xml:space="preserve">Se conservan ambas: PARQUEADERO es el lugar publicado (con fotos, favoritos, horario) y ESPACIO_PARQUEADERO cada cupo. La imagen del diagrama de clases no tiene PARQUEADERO, pero el texto y los casos de uso sí.</t>
  </si>
  <si>
    <t xml:space="preserve">Texto y imagen del diagrama de clases</t>
  </si>
  <si>
    <t xml:space="preserve">Pagos</t>
  </si>
  <si>
    <t xml:space="preserve">Conviven el modelo del documento (depósito y pago final) y las reglas del backlog (efectivo, saldo pendiente, comisión).</t>
  </si>
  <si>
    <t xml:space="preserve">Secuencia y backlog HU-073 a 077</t>
  </si>
  <si>
    <t xml:space="preserve">Campo</t>
  </si>
  <si>
    <t xml:space="preserve">Tipo de dato</t>
  </si>
  <si>
    <t xml:space="preserve">Llave</t>
  </si>
  <si>
    <t xml:space="preserve">Referencia (→ tabla)</t>
  </si>
  <si>
    <t xml:space="preserve">Obligatorio</t>
  </si>
  <si>
    <t xml:space="preserve">Único</t>
  </si>
  <si>
    <t xml:space="preserve">Valor por defecto</t>
  </si>
  <si>
    <t xml:space="preserve">HU</t>
  </si>
  <si>
    <t xml:space="preserve">Notas / reglas</t>
  </si>
  <si>
    <t xml:space="preserve">id</t>
  </si>
  <si>
    <t xml:space="preserve">UUID</t>
  </si>
  <si>
    <t xml:space="preserve">PK</t>
  </si>
  <si>
    <t xml:space="preserve">Sí</t>
  </si>
  <si>
    <t xml:space="preserve">gen_random_uuid()</t>
  </si>
  <si>
    <t xml:space="preserve">Identificador único (UUID).</t>
  </si>
  <si>
    <t xml:space="preserve">nombre</t>
  </si>
  <si>
    <t xml:space="preserve">VARCHAR(100)</t>
  </si>
  <si>
    <t xml:space="preserve">HU-001, 008</t>
  </si>
  <si>
    <t xml:space="preserve">correo</t>
  </si>
  <si>
    <t xml:space="preserve">VARCHAR(150)</t>
  </si>
  <si>
    <t xml:space="preserve">HU-001, 004, 008</t>
  </si>
  <si>
    <t xml:space="preserve">Un correo = una cuenta, sin importar el método de login. Cambiarlo exige reverificación.</t>
  </si>
  <si>
    <t xml:space="preserve">password_hash</t>
  </si>
  <si>
    <t xml:space="preserve">VARCHAR(255)</t>
  </si>
  <si>
    <t xml:space="preserve">No</t>
  </si>
  <si>
    <t xml:space="preserve">HU-001, 004</t>
  </si>
  <si>
    <t xml:space="preserve">Solo el hash, nunca texto plano. NULL si la cuenta usa solo Google/Apple/Facebook.</t>
  </si>
  <si>
    <t xml:space="preserve">telefono</t>
  </si>
  <si>
    <t xml:space="preserve">VARCHAR(15)</t>
  </si>
  <si>
    <t xml:space="preserve">HU-008</t>
  </si>
  <si>
    <t xml:space="preserve">licencia_conduccion</t>
  </si>
  <si>
    <t xml:space="preserve">VARCHAR(20)</t>
  </si>
  <si>
    <t xml:space="preserve">Doc. clase Conductor</t>
  </si>
  <si>
    <t xml:space="preserve">Opcional. Dato de la clase Conductor del diagrama de clases.</t>
  </si>
  <si>
    <t xml:space="preserve">razon_social</t>
  </si>
  <si>
    <t xml:space="preserve">Doc. clase Propietario</t>
  </si>
  <si>
    <t xml:space="preserve">Opcional. Para propietarios que operan como empresa. El documento de identidad del propietario va en VERIFICACION_IDENTIDAD.</t>
  </si>
  <si>
    <t xml:space="preserve">foto_url</t>
  </si>
  <si>
    <t xml:space="preserve">VARCHAR(500)</t>
  </si>
  <si>
    <t xml:space="preserve">HU-009</t>
  </si>
  <si>
    <t xml:space="preserve">Solo la URL; la imagen no se guarda en la BD.</t>
  </si>
  <si>
    <t xml:space="preserve">es_conductor</t>
  </si>
  <si>
    <t xml:space="preserve">BOOLEAN</t>
  </si>
  <si>
    <t xml:space="preserve">false</t>
  </si>
  <si>
    <t xml:space="preserve">HU-021, 053, 054</t>
  </si>
  <si>
    <t xml:space="preserve">La misma persona puede ser conductor y propietario. El diagrama de clases usa un solo campo 'rol'; aquí se mantienen banderas por esa razón.</t>
  </si>
  <si>
    <t xml:space="preserve">es_propietario</t>
  </si>
  <si>
    <t xml:space="preserve">es_administrador</t>
  </si>
  <si>
    <t xml:space="preserve">correo_verificado</t>
  </si>
  <si>
    <t xml:space="preserve">Sin verificar solo puede navegar y buscar; no puede publicar ni reservar.</t>
  </si>
  <si>
    <t xml:space="preserve">estado_cuenta</t>
  </si>
  <si>
    <t xml:space="preserve">'activo'</t>
  </si>
  <si>
    <t xml:space="preserve">HU-058, 013</t>
  </si>
  <si>
    <t xml:space="preserve">activo | inactivo | suspendido | bloqueado. El documento define ACTIVO, INACTIVO y BLOQUEADO; 'suspendido' viene de HU-058.</t>
  </si>
  <si>
    <t xml:space="preserve">intentos_fallidos</t>
  </si>
  <si>
    <t xml:space="preserve">SMALLINT</t>
  </si>
  <si>
    <t xml:space="preserve">0</t>
  </si>
  <si>
    <t xml:space="preserve">HU-002</t>
  </si>
  <si>
    <t xml:space="preserve">Se reinicia con un login exitoso.</t>
  </si>
  <si>
    <t xml:space="preserve">bloqueado_hasta</t>
  </si>
  <si>
    <t xml:space="preserve">TIMESTAMP</t>
  </si>
  <si>
    <t xml:space="preserve">Bloqueo temporal tras varios intentos fallidos (ej. 5 intentos, 15 min).</t>
  </si>
  <si>
    <t xml:space="preserve">acepta_terminos</t>
  </si>
  <si>
    <t xml:space="preserve">HU-001</t>
  </si>
  <si>
    <t xml:space="preserve">Términos y política de datos (Ley 1581 de 2012); se exige antes de crear la cuenta.</t>
  </si>
  <si>
    <t xml:space="preserve">fecha_aceptacion</t>
  </si>
  <si>
    <t xml:space="preserve">Momento en que aceptó términos y política de datos.</t>
  </si>
  <si>
    <t xml:space="preserve">fecha_registro</t>
  </si>
  <si>
    <t xml:space="preserve">now()</t>
  </si>
  <si>
    <t xml:space="preserve">fecha_eliminacion</t>
  </si>
  <si>
    <t xml:space="preserve">HU-013</t>
  </si>
  <si>
    <t xml:space="preserve">Eliminación lógica: se anonimizan los datos personales para no romper el historial.</t>
  </si>
  <si>
    <t xml:space="preserve">id_usuario</t>
  </si>
  <si>
    <t xml:space="preserve">FK</t>
  </si>
  <si>
    <t xml:space="preserve">tipo</t>
  </si>
  <si>
    <t xml:space="preserve">verificacion | recuperacion.</t>
  </si>
  <si>
    <t xml:space="preserve">token_hash</t>
  </si>
  <si>
    <t xml:space="preserve">Se guarda el hash del código, no el código.</t>
  </si>
  <si>
    <t xml:space="preserve">expira_en</t>
  </si>
  <si>
    <t xml:space="preserve">Verificación ej. 24 h; recuperación ej. 1 h (ver CONFIGURACION).</t>
  </si>
  <si>
    <t xml:space="preserve">usado</t>
  </si>
  <si>
    <t xml:space="preserve">refresh_token_hash</t>
  </si>
  <si>
    <t xml:space="preserve">revocada</t>
  </si>
  <si>
    <t xml:space="preserve">HU-007</t>
  </si>
  <si>
    <t xml:space="preserve">true al cerrar sesión.</t>
  </si>
  <si>
    <t xml:space="preserve">fecha_creacion</t>
  </si>
  <si>
    <t xml:space="preserve">token_push</t>
  </si>
  <si>
    <t xml:space="preserve">Token del servicio de mensajería (por ejemplo FCM).</t>
  </si>
  <si>
    <t xml:space="preserve">plataforma</t>
  </si>
  <si>
    <t xml:space="preserve">VARCHAR(10)</t>
  </si>
  <si>
    <t xml:space="preserve">android | ios | web.</t>
  </si>
  <si>
    <t xml:space="preserve">activo</t>
  </si>
  <si>
    <t xml:space="preserve">true</t>
  </si>
  <si>
    <t xml:space="preserve">false si el token caducó o el usuario cerró sesión en ese dispositivo.</t>
  </si>
  <si>
    <t xml:space="preserve">proveedor</t>
  </si>
  <si>
    <t xml:space="preserve">google (F2) | apple (F3) | facebook (F3).</t>
  </si>
  <si>
    <t xml:space="preserve">proveedor_uid</t>
  </si>
  <si>
    <t xml:space="preserve">(proveedor, proveedor_uid)</t>
  </si>
  <si>
    <t xml:space="preserve">ID del usuario en el proveedor. Un correo solo puede estar ligado a una cuenta LUMO.</t>
  </si>
  <si>
    <t xml:space="preserve">placa</t>
  </si>
  <si>
    <t xml:space="preserve">(id_usuario, placa)</t>
  </si>
  <si>
    <t xml:space="preserve">HU-011</t>
  </si>
  <si>
    <t xml:space="preserve">Se valida con el formato del país. No se duplica dentro de la misma cuenta.</t>
  </si>
  <si>
    <t xml:space="preserve">marca</t>
  </si>
  <si>
    <t xml:space="preserve">VARCHAR(50)</t>
  </si>
  <si>
    <t xml:space="preserve">modelo</t>
  </si>
  <si>
    <t xml:space="preserve">color</t>
  </si>
  <si>
    <t xml:space="preserve">VARCHAR(30)</t>
  </si>
  <si>
    <t xml:space="preserve">Obligatorio: HU-011 pide placa, marca, modelo, color y tipo.</t>
  </si>
  <si>
    <t xml:space="preserve">Doc. clase Vehiculo</t>
  </si>
  <si>
    <t xml:space="preserve">Solo la URL.</t>
  </si>
  <si>
    <t xml:space="preserve">tipo_vehiculo</t>
  </si>
  <si>
    <t xml:space="preserve">automovil | camioneta | motocicleta | camion | van_minivan | otro (enumeración TipoVehiculo del documento). También se usa en TARIFA.</t>
  </si>
  <si>
    <t xml:space="preserve">HU-012</t>
  </si>
  <si>
    <t xml:space="preserve">false = eliminado; se conserva por el historial. No se elimina con reservas activas.</t>
  </si>
  <si>
    <t xml:space="preserve">tipo_documento</t>
  </si>
  <si>
    <t xml:space="preserve">numero_documento</t>
  </si>
  <si>
    <t xml:space="preserve">Dato sensible: cifrar (sección 9 del documento del proyecto).</t>
  </si>
  <si>
    <t xml:space="preserve">documento_url</t>
  </si>
  <si>
    <t xml:space="preserve">Cifrar y definir retención tras validar.</t>
  </si>
  <si>
    <t xml:space="preserve">selfie_url</t>
  </si>
  <si>
    <t xml:space="preserve">referencia_kyc</t>
  </si>
  <si>
    <t xml:space="preserve">ID en el proveedor externo de verificación, si se usa.</t>
  </si>
  <si>
    <t xml:space="preserve">estado</t>
  </si>
  <si>
    <t xml:space="preserve">'pendiente'</t>
  </si>
  <si>
    <t xml:space="preserve">pendiente | verificado | rechazado. 'verificado' muestra la insignia.</t>
  </si>
  <si>
    <t xml:space="preserve">fecha_solicitud</t>
  </si>
  <si>
    <t xml:space="preserve">fecha_validacion</t>
  </si>
  <si>
    <t xml:space="preserve">id_propietario</t>
  </si>
  <si>
    <t xml:space="preserve">HU-014, 021</t>
  </si>
  <si>
    <t xml:space="preserve">Un propietario puede tener varios parqueaderos (HU-021).</t>
  </si>
  <si>
    <t xml:space="preserve">HU-014</t>
  </si>
  <si>
    <t xml:space="preserve">descripcion</t>
  </si>
  <si>
    <t xml:space="preserve">TEXT</t>
  </si>
  <si>
    <t xml:space="preserve">direccion</t>
  </si>
  <si>
    <t xml:space="preserve">VARCHAR(200)</t>
  </si>
  <si>
    <t xml:space="preserve">HU-014, 024</t>
  </si>
  <si>
    <t xml:space="preserve">ciudad</t>
  </si>
  <si>
    <t xml:space="preserve">VARCHAR(80)</t>
  </si>
  <si>
    <t xml:space="preserve">Doc. clase Ubicacion</t>
  </si>
  <si>
    <t xml:space="preserve">zona</t>
  </si>
  <si>
    <t xml:space="preserve">Barrio o sector.</t>
  </si>
  <si>
    <t xml:space="preserve">latitud</t>
  </si>
  <si>
    <t xml:space="preserve">NUMERIC(10,7)</t>
  </si>
  <si>
    <t xml:space="preserve">HU-016</t>
  </si>
  <si>
    <t xml:space="preserve">Obligatoria y dentro del área de operación de LUMO.</t>
  </si>
  <si>
    <t xml:space="preserve">longitud</t>
  </si>
  <si>
    <t xml:space="preserve">acepta_efectivo</t>
  </si>
  <si>
    <t xml:space="preserve">HU-073</t>
  </si>
  <si>
    <t xml:space="preserve">Si es false, el conductor solo puede pagar en línea.</t>
  </si>
  <si>
    <t xml:space="preserve">es_cubierto</t>
  </si>
  <si>
    <t xml:space="preserve">HU-027</t>
  </si>
  <si>
    <t xml:space="preserve">Característica para filtros.</t>
  </si>
  <si>
    <t xml:space="preserve">tiene_vigilancia</t>
  </si>
  <si>
    <t xml:space="preserve">acceso_24h</t>
  </si>
  <si>
    <t xml:space="preserve">estado_publicacion</t>
  </si>
  <si>
    <t xml:space="preserve">HU-014, 020, 022</t>
  </si>
  <si>
    <t xml:space="preserve">en_revision | activa | rechazada | despublicada. Solo 'activa' sale en búsquedas (HU-023). Sin moderación (MVP) puede nacer 'activa'.</t>
  </si>
  <si>
    <t xml:space="preserve">motivo_rechazo</t>
  </si>
  <si>
    <t xml:space="preserve">HU-022</t>
  </si>
  <si>
    <t xml:space="preserve">revisado_por</t>
  </si>
  <si>
    <t xml:space="preserve">Administrador que revisó la publicación.</t>
  </si>
  <si>
    <t xml:space="preserve">fecha_revision</t>
  </si>
  <si>
    <t xml:space="preserve">Valores por definir (por ejemplo cubierto, descubierto, sótano).</t>
  </si>
  <si>
    <t xml:space="preserve">id_parqueadero</t>
  </si>
  <si>
    <t xml:space="preserve">id_tipo_parqueadero</t>
  </si>
  <si>
    <t xml:space="preserve">codigo_espacio</t>
  </si>
  <si>
    <t xml:space="preserve">Doc. clase EspacioParqueadero</t>
  </si>
  <si>
    <t xml:space="preserve">Código legible (ej. A-12). Único.</t>
  </si>
  <si>
    <t xml:space="preserve">nivel</t>
  </si>
  <si>
    <t xml:space="preserve">Piso o nivel, si aplica.</t>
  </si>
  <si>
    <t xml:space="preserve">capacidad</t>
  </si>
  <si>
    <t xml:space="preserve">1</t>
  </si>
  <si>
    <t xml:space="preserve">Vehículos que caben. Por defecto 1: el bloqueo de solapamientos asume un cupo por espacio.</t>
  </si>
  <si>
    <t xml:space="preserve">'disponible'</t>
  </si>
  <si>
    <t xml:space="preserve">disponible | reservado | en_uso | mantenimiento | inactivo (enumeración EstadoEspacio). 'reservado' y 'en_uso' los actualiza el sistema según RESERVA.</t>
  </si>
  <si>
    <t xml:space="preserve">false = dado de baja sin perder el historial. Viene del diagrama de clases; si prefieres evitar redundancia con estado, usa solo uno.</t>
  </si>
  <si>
    <t xml:space="preserve">url</t>
  </si>
  <si>
    <t xml:space="preserve">Solo la URL. Máximo de fotos en CONFIGURACION (ej. 10).</t>
  </si>
  <si>
    <t xml:space="preserve">orden</t>
  </si>
  <si>
    <t xml:space="preserve">Si se llena (y id_espacio no), aplica a todos los espacios del parqueadero.</t>
  </si>
  <si>
    <t xml:space="preserve">id_espacio</t>
  </si>
  <si>
    <t xml:space="preserve">Si se llena, aplica solo a ese espacio. Si ambos FK son NULL, es una tarifa global. Gana la más específica.</t>
  </si>
  <si>
    <t xml:space="preserve">Doc. 3.4</t>
  </si>
  <si>
    <t xml:space="preserve">Tarifa por tipo de automotor. NULL = aplica a todos.</t>
  </si>
  <si>
    <t xml:space="preserve">unidad</t>
  </si>
  <si>
    <t xml:space="preserve">HU-018; doc. 3.4</t>
  </si>
  <si>
    <t xml:space="preserve">minuto | hora | dia | semana | mes.</t>
  </si>
  <si>
    <t xml:space="preserve">valor</t>
  </si>
  <si>
    <t xml:space="preserve">NUMERIC(12,2)</t>
  </si>
  <si>
    <t xml:space="preserve">HU-018</t>
  </si>
  <si>
    <t xml:space="preserve">Precio por unidad (doc: precioPorHora). Entre precio_minimo y precio_maximo de CONFIGURACION.</t>
  </si>
  <si>
    <t xml:space="preserve">precio_minimo</t>
  </si>
  <si>
    <t xml:space="preserve">Doc. clase Tarifa</t>
  </si>
  <si>
    <t xml:space="preserve">Valor mínimo a cobrar por una reserva.</t>
  </si>
  <si>
    <t xml:space="preserve">fraccion_minima_min</t>
  </si>
  <si>
    <t xml:space="preserve">INTEGER</t>
  </si>
  <si>
    <t xml:space="preserve">10</t>
  </si>
  <si>
    <t xml:space="preserve">Minutos mínimos cobrables (el documento indica 10).</t>
  </si>
  <si>
    <t xml:space="preserve">moneda</t>
  </si>
  <si>
    <t xml:space="preserve">VARCHAR(3)</t>
  </si>
  <si>
    <t xml:space="preserve">'COP'</t>
  </si>
  <si>
    <t xml:space="preserve">activa</t>
  </si>
  <si>
    <t xml:space="preserve">fecha_inicio</t>
  </si>
  <si>
    <t xml:space="preserve">fecha_fin</t>
  </si>
  <si>
    <t xml:space="preserve">NULL = sin fecha de fin. Las tarifas no se borran: se cierran con fecha_fin para conservar el historial.</t>
  </si>
  <si>
    <t xml:space="preserve">dia_semana</t>
  </si>
  <si>
    <t xml:space="preserve">0 a 6; definir convención (ej. 0 = domingo).</t>
  </si>
  <si>
    <t xml:space="preserve">hora_inicio</t>
  </si>
  <si>
    <t xml:space="preserve">TIME</t>
  </si>
  <si>
    <t xml:space="preserve">hora_fin</t>
  </si>
  <si>
    <t xml:space="preserve">Si se llena, el bloqueo aplica solo a ese espacio; si es NULL, a todo el parqueadero.</t>
  </si>
  <si>
    <t xml:space="preserve">motivo</t>
  </si>
  <si>
    <t xml:space="preserve">codigo_reserva</t>
  </si>
  <si>
    <t xml:space="preserve">HU-035; doc. clase Reserva</t>
  </si>
  <si>
    <t xml:space="preserve">Código legible para conductor y propietario.</t>
  </si>
  <si>
    <t xml:space="preserve">HU-030</t>
  </si>
  <si>
    <t xml:space="preserve">Espacio reservado. El parqueadero se obtiene a través del espacio.</t>
  </si>
  <si>
    <t xml:space="preserve">id_conductor</t>
  </si>
  <si>
    <t xml:space="preserve">Rol: conductor.</t>
  </si>
  <si>
    <t xml:space="preserve">id_vehiculo</t>
  </si>
  <si>
    <t xml:space="preserve">id_tarifa</t>
  </si>
  <si>
    <t xml:space="preserve">Doc. componente Cálculo de Precios</t>
  </si>
  <si>
    <t xml:space="preserve">Tarifa usada para calcular el precio.</t>
  </si>
  <si>
    <t xml:space="preserve">HU-030, 071</t>
  </si>
  <si>
    <t xml:space="preserve">Inicio de la ventana reservada. Con fecha_fin permite bloquear solapamientos por espacio.</t>
  </si>
  <si>
    <t xml:space="preserve">HU-030, 034</t>
  </si>
  <si>
    <t xml:space="preserve">hora_entrada_real</t>
  </si>
  <si>
    <t xml:space="preserve">Doc. secuencia 3.5</t>
  </si>
  <si>
    <t xml:space="preserve">Se registra al validar el OTP de entrada; la reserva pasa a en_uso.</t>
  </si>
  <si>
    <t xml:space="preserve">hora_salida_real</t>
  </si>
  <si>
    <t xml:space="preserve">Doc. secuencia 5.5</t>
  </si>
  <si>
    <t xml:space="preserve">Se registra al validar el OTP de salida. Con la entrada real define el tiempo cobrado (mínimo 10 min).</t>
  </si>
  <si>
    <t xml:space="preserve">'reservada'</t>
  </si>
  <si>
    <t xml:space="preserve">HU-030 a 032, 035, 071; doc. EstadoReserva</t>
  </si>
  <si>
    <t xml:space="preserve">reservada | pendiente | en_uso | finalizada | cancelada | rechazada | expirada. El documento define RESERVADA, EN_USO, FINALIZADA, CANCELADA y EXPIRADA; pendiente y rechazada vienen de HU-031.</t>
  </si>
  <si>
    <t xml:space="preserve">metodo_pago</t>
  </si>
  <si>
    <t xml:space="preserve">HU-030, 073</t>
  </si>
  <si>
    <t xml:space="preserve">en_linea | efectivo. Efectivo solo si PARQUEADERO.acepta_efectivo. (El método concreto va en PAGO.id_metodo_pago.)</t>
  </si>
  <si>
    <t xml:space="preserve">precio_aplicado</t>
  </si>
  <si>
    <t xml:space="preserve">HU-019; doc. 2.5</t>
  </si>
  <si>
    <t xml:space="preserve">Precio por unidad ya con el ajuste dinámico. No cambia aunque la tarifa se modifique después.</t>
  </si>
  <si>
    <t xml:space="preserve">costo_estimado</t>
  </si>
  <si>
    <t xml:space="preserve">Calculado al reservar sobre la ventana fecha_inicio a fecha_fin.</t>
  </si>
  <si>
    <t xml:space="preserve">costo_final</t>
  </si>
  <si>
    <t xml:space="preserve">Doc. secuencia 5.7 a 5.9</t>
  </si>
  <si>
    <t xml:space="preserve">Se calcula al salir con el tiempo real de uso. El pago final cubre costo_final menos el depósito.</t>
  </si>
  <si>
    <t xml:space="preserve">monto_deposito</t>
  </si>
  <si>
    <t xml:space="preserve">Doc. clase Reserva</t>
  </si>
  <si>
    <t xml:space="preserve">Depósito cobrado al reservar (monto fijo según el documento).</t>
  </si>
  <si>
    <t xml:space="preserve">HU-031, 071</t>
  </si>
  <si>
    <t xml:space="preserve">Vence el estado transitorio: TTL de 5 min para pagar el depósito, o plazo de respuesta del propietario (15 a 30 min) en pendiente. Ver CONFIGURACION.</t>
  </si>
  <si>
    <t xml:space="preserve">efectivo_confirmado_en</t>
  </si>
  <si>
    <t xml:space="preserve">HU-074</t>
  </si>
  <si>
    <t xml:space="preserve">El propietario declara que recibió el efectivo; LUMO no lo verifica.</t>
  </si>
  <si>
    <t xml:space="preserve">fecha_cancelacion</t>
  </si>
  <si>
    <t xml:space="preserve">HU-032</t>
  </si>
  <si>
    <t xml:space="preserve">cancelada_por</t>
  </si>
  <si>
    <t xml:space="preserve">Quién canceló (conductor o propietario).</t>
  </si>
  <si>
    <t xml:space="preserve">motivo_cancelacion</t>
  </si>
  <si>
    <t xml:space="preserve">penalidad</t>
  </si>
  <si>
    <t xml:space="preserve">Según la política de cancelación y el tiempo restante.</t>
  </si>
  <si>
    <t xml:space="preserve">notas</t>
  </si>
  <si>
    <t xml:space="preserve">VARCHAR(300)</t>
  </si>
  <si>
    <t xml:space="preserve">id_reserva</t>
  </si>
  <si>
    <t xml:space="preserve">codigo</t>
  </si>
  <si>
    <t xml:space="preserve">Se muestra al conductor en la app, por eso se guarda legible; es de vida corta y un solo uso. Si prefieres guardarlo como hash, hay que regenerarlo cuando el conductor quiera verlo de nuevo.</t>
  </si>
  <si>
    <t xml:space="preserve">entrada | salida.</t>
  </si>
  <si>
    <t xml:space="preserve">fecha_generacion</t>
  </si>
  <si>
    <t xml:space="preserve">fecha_expiracion</t>
  </si>
  <si>
    <t xml:space="preserve">Vigencia en CONFIGURACION (otp_vigencia_min).</t>
  </si>
  <si>
    <t xml:space="preserve">fecha_uso</t>
  </si>
  <si>
    <t xml:space="preserve">fecha_fin_anterior</t>
  </si>
  <si>
    <t xml:space="preserve">fecha_fin_nueva</t>
  </si>
  <si>
    <t xml:space="preserve">No puede solaparse con otra reserva vigente del mismo espacio.</t>
  </si>
  <si>
    <t xml:space="preserve">costo_adicional</t>
  </si>
  <si>
    <t xml:space="preserve">PK, FK</t>
  </si>
  <si>
    <t xml:space="preserve">fecha</t>
  </si>
  <si>
    <t xml:space="preserve">HU-036</t>
  </si>
  <si>
    <t xml:space="preserve">Una reserva tiene al menos un pago: el depósito y, al salir, el pago final.</t>
  </si>
  <si>
    <t xml:space="preserve">id_payout</t>
  </si>
  <si>
    <t xml:space="preserve">HU-045</t>
  </si>
  <si>
    <t xml:space="preserve">Payout en el que se transfirió este pago al propietario.</t>
  </si>
  <si>
    <t xml:space="preserve">id_metodo_pago</t>
  </si>
  <si>
    <t xml:space="preserve">HU-036 a 039</t>
  </si>
  <si>
    <t xml:space="preserve">Reemplaza a medio_pago.</t>
  </si>
  <si>
    <t xml:space="preserve">tipo_pago</t>
  </si>
  <si>
    <t xml:space="preserve">Doc. enumeración TipoPago</t>
  </si>
  <si>
    <t xml:space="preserve">deposito | pago_final. El depósito se cobra al reservar; el pago final cubre la diferencia con el costo final.</t>
  </si>
  <si>
    <t xml:space="preserve">monto</t>
  </si>
  <si>
    <t xml:space="preserve">HU-043; doc. clase Pago</t>
  </si>
  <si>
    <t xml:space="preserve">Monto de esta transacción (antes monto_bruto).</t>
  </si>
  <si>
    <t xml:space="preserve">comision</t>
  </si>
  <si>
    <t xml:space="preserve">HU-042, 043</t>
  </si>
  <si>
    <t xml:space="preserve">monto_neto</t>
  </si>
  <si>
    <t xml:space="preserve">HU-043, 068</t>
  </si>
  <si>
    <t xml:space="preserve">porcentaje_aplicado</t>
  </si>
  <si>
    <t xml:space="preserve">NUMERIC(5,2)</t>
  </si>
  <si>
    <t xml:space="preserve">HU-042</t>
  </si>
  <si>
    <t xml:space="preserve">Porcentaje vigente al momento del pago.</t>
  </si>
  <si>
    <t xml:space="preserve">pendiente | aprobado | rechazado | reembolsado. Si el pago final se rechaza, la reserva igual se finaliza y se registra una DEUDA_CONDUCTOR.</t>
  </si>
  <si>
    <t xml:space="preserve">referencia_pasarela</t>
  </si>
  <si>
    <t xml:space="preserve">ID de la transacción en la pasarela externa. NULL hasta que la pasarela responde.</t>
  </si>
  <si>
    <t xml:space="preserve">fecha_pago</t>
  </si>
  <si>
    <t xml:space="preserve">Se llena cuando la pasarela aprueba.</t>
  </si>
  <si>
    <t xml:space="preserve">monto_reembolsado</t>
  </si>
  <si>
    <t xml:space="preserve">HU-041</t>
  </si>
  <si>
    <t xml:space="preserve">fecha_reembolso</t>
  </si>
  <si>
    <t xml:space="preserve">retenido</t>
  </si>
  <si>
    <t xml:space="preserve">HU-047</t>
  </si>
  <si>
    <t xml:space="preserve">true bloquea el payout hasta que un administrador lo libere.</t>
  </si>
  <si>
    <t xml:space="preserve">motivo_retencion</t>
  </si>
  <si>
    <t xml:space="preserve">Permite habilitar o deshabilitar un método sin cambiar código (tarjeta MVP; PSE y Nequi F2; Daviplata F3).</t>
  </si>
  <si>
    <t xml:space="preserve">pendiente | pagada | condonada.</t>
  </si>
  <si>
    <t xml:space="preserve">fecha_saldada</t>
  </si>
  <si>
    <t xml:space="preserve">id_pago</t>
  </si>
  <si>
    <t xml:space="preserve">Pago con el que se saldó la deuda.</t>
  </si>
  <si>
    <t xml:space="preserve">HU-075</t>
  </si>
  <si>
    <t xml:space="preserve">Rol: propietario deudor.</t>
  </si>
  <si>
    <t xml:space="preserve">Reserva en efectivo que originó la comisión.</t>
  </si>
  <si>
    <t xml:space="preserve">monto_comision</t>
  </si>
  <si>
    <t xml:space="preserve">HU-076, 077</t>
  </si>
  <si>
    <t xml:space="preserve">pendiente | descontado | pagado.</t>
  </si>
  <si>
    <t xml:space="preserve">fecha_saldado</t>
  </si>
  <si>
    <t xml:space="preserve">HU-077</t>
  </si>
  <si>
    <t xml:space="preserve">Payout en el que se descontó.</t>
  </si>
  <si>
    <t xml:space="preserve">banco | billetera.</t>
  </si>
  <si>
    <t xml:space="preserve">pendiente | validada | inactiva. Debe estar validada para recibir pagos.</t>
  </si>
  <si>
    <t xml:space="preserve">es_principal</t>
  </si>
  <si>
    <t xml:space="preserve">id_cuenta_cobro</t>
  </si>
  <si>
    <t xml:space="preserve">monto_bruto</t>
  </si>
  <si>
    <t xml:space="preserve">descuento_saldo</t>
  </si>
  <si>
    <t xml:space="preserve">Saldo pendiente descontado antes de transferir.</t>
  </si>
  <si>
    <t xml:space="preserve">monto_transferido</t>
  </si>
  <si>
    <t xml:space="preserve">programado | pagado | fallido.</t>
  </si>
  <si>
    <t xml:space="preserve">fecha_estimada</t>
  </si>
  <si>
    <t xml:space="preserve">HU-046</t>
  </si>
  <si>
    <t xml:space="preserve">NULL si en el MVP se resuelve como proceso manual.</t>
  </si>
  <si>
    <t xml:space="preserve">numero</t>
  </si>
  <si>
    <t xml:space="preserve">fecha_emision</t>
  </si>
  <si>
    <t xml:space="preserve">valor_total</t>
  </si>
  <si>
    <t xml:space="preserve">url_pdf</t>
  </si>
  <si>
    <t xml:space="preserve">Validar requisitos fiscales con el equipo legal/contable.</t>
  </si>
  <si>
    <t xml:space="preserve">clave</t>
  </si>
  <si>
    <t xml:space="preserve">(clave, vigente_desde)</t>
  </si>
  <si>
    <t xml:space="preserve">Varias filas con la misma clave conservan el historial de cambios.</t>
  </si>
  <si>
    <t xml:space="preserve">Se guarda como texto; la aplicación lo convierte al tipo que corresponda.</t>
  </si>
  <si>
    <t xml:space="preserve">vigente_desde</t>
  </si>
  <si>
    <t xml:space="preserve">Rige la fila más reciente cuyo vigente_desde ya pasó.</t>
  </si>
  <si>
    <t xml:space="preserve">HU-048</t>
  </si>
  <si>
    <t xml:space="preserve">id_emisor</t>
  </si>
  <si>
    <t xml:space="preserve">'texto'</t>
  </si>
  <si>
    <t xml:space="preserve">texto (MVP) | imagen (F2) | ubicacion (F3).</t>
  </si>
  <si>
    <t xml:space="preserve">contenido</t>
  </si>
  <si>
    <t xml:space="preserve">imagen_url</t>
  </si>
  <si>
    <t xml:space="preserve">HU-050</t>
  </si>
  <si>
    <t xml:space="preserve">HU-049</t>
  </si>
  <si>
    <t xml:space="preserve">Se elimina al finalizar la reserva (sección 9).</t>
  </si>
  <si>
    <t xml:space="preserve">fecha_envio</t>
  </si>
  <si>
    <t xml:space="preserve">leido</t>
  </si>
  <si>
    <t xml:space="preserve">Opcional: ninguna HU lo exige.</t>
  </si>
  <si>
    <t xml:space="preserve">HU-052</t>
  </si>
  <si>
    <t xml:space="preserve">La reserva debe estar 'finalizada'.</t>
  </si>
  <si>
    <t xml:space="preserve">id_receptor</t>
  </si>
  <si>
    <t xml:space="preserve">Quién recibe la calificación.</t>
  </si>
  <si>
    <t xml:space="preserve">Solo cuando tipo_calificacion = parqueadero.</t>
  </si>
  <si>
    <t xml:space="preserve">tipo_calificacion</t>
  </si>
  <si>
    <t xml:space="preserve">(id_reserva, id_emisor, tipo_calificacion)</t>
  </si>
  <si>
    <t xml:space="preserve">parqueadero (MVP) | propietario (F2) | conductor (F2).</t>
  </si>
  <si>
    <t xml:space="preserve">puntuacion</t>
  </si>
  <si>
    <t xml:space="preserve">1 a 5.</t>
  </si>
  <si>
    <t xml:space="preserve">comentario</t>
  </si>
  <si>
    <t xml:space="preserve">Reseña.</t>
  </si>
  <si>
    <t xml:space="preserve">HU-055</t>
  </si>
  <si>
    <t xml:space="preserve">Quien reporta.</t>
  </si>
  <si>
    <t xml:space="preserve">id_reportado</t>
  </si>
  <si>
    <t xml:space="preserve">Quien es reportado. Un reporte no bloquea automáticamente.</t>
  </si>
  <si>
    <t xml:space="preserve">HU-057</t>
  </si>
  <si>
    <t xml:space="preserve">pendiente | resuelto.</t>
  </si>
  <si>
    <t xml:space="preserve">accion_tomada</t>
  </si>
  <si>
    <t xml:space="preserve">resuelto_por</t>
  </si>
  <si>
    <t xml:space="preserve">Administrador que lo resolvió.</t>
  </si>
  <si>
    <t xml:space="preserve">fecha_resolucion</t>
  </si>
  <si>
    <t xml:space="preserve">HU-058</t>
  </si>
  <si>
    <t xml:space="preserve">Usuario sancionado.</t>
  </si>
  <si>
    <t xml:space="preserve">id_reporte</t>
  </si>
  <si>
    <t xml:space="preserve">Reporte que la originó, si lo hubo.</t>
  </si>
  <si>
    <t xml:space="preserve">aplicada_por</t>
  </si>
  <si>
    <t xml:space="preserve">Administrador que aplicó la sanción.</t>
  </si>
  <si>
    <t xml:space="preserve">advertencia | suspension | bloqueo.</t>
  </si>
  <si>
    <t xml:space="preserve">Motivo registrado (obligatorio).</t>
  </si>
  <si>
    <t xml:space="preserve">NULL = permanente (bloqueo).</t>
  </si>
  <si>
    <t xml:space="preserve">Si el caso es sobre una reserva.</t>
  </si>
  <si>
    <t xml:space="preserve">Si deriva de un reporte.</t>
  </si>
  <si>
    <t xml:space="preserve">canal</t>
  </si>
  <si>
    <t xml:space="preserve">app | correo | whatsapp.</t>
  </si>
  <si>
    <t xml:space="preserve">asunto</t>
  </si>
  <si>
    <t xml:space="preserve">'abierto'</t>
  </si>
  <si>
    <t xml:space="preserve">abierto | en_proceso | cerrado.</t>
  </si>
  <si>
    <t xml:space="preserve">atendido_por</t>
  </si>
  <si>
    <t xml:space="preserve">Administrador que atiende.</t>
  </si>
  <si>
    <t xml:space="preserve">respuesta</t>
  </si>
  <si>
    <t xml:space="preserve">fecha_respuesta</t>
  </si>
  <si>
    <t xml:space="preserve">HU-060 a 064; doc. componente Notificaciones</t>
  </si>
  <si>
    <t xml:space="preserve">nueva_reserva | recordatorio | pago_aprobado | pago_rechazado | deuda_pendiente | reserva_finalizada | cancelacion (lista por definir).</t>
  </si>
  <si>
    <t xml:space="preserve">push | email | sms.</t>
  </si>
  <si>
    <t xml:space="preserve">titulo</t>
  </si>
  <si>
    <t xml:space="preserve">leida</t>
  </si>
  <si>
    <t xml:space="preserve">Las críticas (cancelación, pago) no se pueden desactivar por completo (a validar con negocio).</t>
  </si>
  <si>
    <t xml:space="preserve">Tabla hija (lleva la FK)</t>
  </si>
  <si>
    <t xml:space="preserve">Campo FK</t>
  </si>
  <si>
    <t xml:space="preserve">Tabla padre</t>
  </si>
  <si>
    <t xml:space="preserve">Cardinalidad</t>
  </si>
  <si>
    <t xml:space="preserve">Nivel de dibujo (hija)</t>
  </si>
  <si>
    <t xml:space="preserve">Nota</t>
  </si>
  <si>
    <t xml:space="preserve">Padre 1 — Hija N</t>
  </si>
  <si>
    <t xml:space="preserve">Padre 0..1 — Hija N (FK opcional)</t>
  </si>
  <si>
    <t xml:space="preserve">Clave</t>
  </si>
  <si>
    <t xml:space="preserve">Valor de referencia</t>
  </si>
  <si>
    <t xml:space="preserve">Unidad</t>
  </si>
  <si>
    <t xml:space="preserve">Origen</t>
  </si>
  <si>
    <t xml:space="preserve">Estado</t>
  </si>
  <si>
    <t xml:space="preserve">comision_porcentaje</t>
  </si>
  <si>
    <t xml:space="preserve">por definir</t>
  </si>
  <si>
    <t xml:space="preserve">% (NUMERIC(5,2))</t>
  </si>
  <si>
    <t xml:space="preserve">Por definir</t>
  </si>
  <si>
    <t xml:space="preserve">tope_saldo_efectivo</t>
  </si>
  <si>
    <t xml:space="preserve">30000</t>
  </si>
  <si>
    <t xml:space="preserve">COP</t>
  </si>
  <si>
    <t xml:space="preserve">Definido por el equipo: documento del proyecto 5.2 y HU-075</t>
  </si>
  <si>
    <t xml:space="preserve">Definido</t>
  </si>
  <si>
    <t xml:space="preserve">ttl_reserva_min</t>
  </si>
  <si>
    <t xml:space="preserve">5</t>
  </si>
  <si>
    <t xml:space="preserve">minutos</t>
  </si>
  <si>
    <t xml:space="preserve">Documento del proyecto 5.2 (RESERVA_EN_PROCESO)</t>
  </si>
  <si>
    <t xml:space="preserve">precio_maximo</t>
  </si>
  <si>
    <t xml:space="preserve">plazo_respuesta_propietario_min</t>
  </si>
  <si>
    <t xml:space="preserve">15 a 30 (ejemplo del backlog)</t>
  </si>
  <si>
    <t xml:space="preserve">HU-031</t>
  </si>
  <si>
    <t xml:space="preserve">cancelacion_gratis_horas</t>
  </si>
  <si>
    <t xml:space="preserve">por definir (X horas antes)</t>
  </si>
  <si>
    <t xml:space="preserve">horas</t>
  </si>
  <si>
    <t xml:space="preserve">max_fotos</t>
  </si>
  <si>
    <t xml:space="preserve">10 (ejemplo del backlog)</t>
  </si>
  <si>
    <t xml:space="preserve">unidades</t>
  </si>
  <si>
    <t xml:space="preserve">HU-015</t>
  </si>
  <si>
    <t xml:space="preserve">max_tamano_foto_mb</t>
  </si>
  <si>
    <t xml:space="preserve">5 (ejemplo del backlog)</t>
  </si>
  <si>
    <t xml:space="preserve">MB</t>
  </si>
  <si>
    <t xml:space="preserve">HU-009, 015</t>
  </si>
  <si>
    <t xml:space="preserve">max_parqueaderos_por_cuenta</t>
  </si>
  <si>
    <t xml:space="preserve">HU-021</t>
  </si>
  <si>
    <t xml:space="preserve">recordatorio_min</t>
  </si>
  <si>
    <t xml:space="preserve">30 a 60 (ejemplo del backlog)</t>
  </si>
  <si>
    <t xml:space="preserve">HU-061</t>
  </si>
  <si>
    <t xml:space="preserve">max_intentos_login</t>
  </si>
  <si>
    <t xml:space="preserve">intentos</t>
  </si>
  <si>
    <t xml:space="preserve">bloqueo_login_min</t>
  </si>
  <si>
    <t xml:space="preserve">15 (ejemplo del backlog)</t>
  </si>
  <si>
    <t xml:space="preserve">expira_verificacion_horas</t>
  </si>
  <si>
    <t xml:space="preserve">24 (ejemplo del backlog)</t>
  </si>
  <si>
    <t xml:space="preserve">expira_recuperacion_horas</t>
  </si>
  <si>
    <t xml:space="preserve">1 (ejemplo del backlog)</t>
  </si>
  <si>
    <t xml:space="preserve">HU-003</t>
  </si>
  <si>
    <t xml:space="preserve">radio_busqueda_km</t>
  </si>
  <si>
    <t xml:space="preserve">2 (ejemplo del backlog)</t>
  </si>
  <si>
    <t xml:space="preserve">km</t>
  </si>
  <si>
    <t xml:space="preserve">HU-024</t>
  </si>
  <si>
    <t xml:space="preserve">por definir (monto fijo)</t>
  </si>
  <si>
    <t xml:space="preserve">Documento: clase Pago (el depósito es de monto fijo)</t>
  </si>
  <si>
    <t xml:space="preserve">otp_vigencia_min</t>
  </si>
  <si>
    <t xml:space="preserve">Documento: componente Servicio OTP (expiración)</t>
  </si>
  <si>
    <t xml:space="preserve">Tipos de dato (PostgreSQL)</t>
  </si>
  <si>
    <t xml:space="preserve">Dato</t>
  </si>
  <si>
    <t xml:space="preserve">Tipo</t>
  </si>
  <si>
    <t xml:space="preserve">Identificador</t>
  </si>
  <si>
    <t xml:space="preserve">Decisión del documento del proyecto (5.2). Valor por defecto: gen_random_uuid().</t>
  </si>
  <si>
    <t xml:space="preserve">Texto corto (nombre, correo)</t>
  </si>
  <si>
    <t xml:space="preserve">VARCHAR(n)</t>
  </si>
  <si>
    <t xml:space="preserve">Define un máximo realista.</t>
  </si>
  <si>
    <t xml:space="preserve">Texto largo (descripción, mensaje)</t>
  </si>
  <si>
    <t xml:space="preserve">Dinero (COP)</t>
  </si>
  <si>
    <t xml:space="preserve">Nunca FLOAT.</t>
  </si>
  <si>
    <t xml:space="preserve">Porcentaje</t>
  </si>
  <si>
    <t xml:space="preserve">Ej. 12.50.</t>
  </si>
  <si>
    <t xml:space="preserve">Contador o puntuación</t>
  </si>
  <si>
    <t xml:space="preserve">SMALLINT / INTEGER</t>
  </si>
  <si>
    <t xml:space="preserve">Sí/No</t>
  </si>
  <si>
    <t xml:space="preserve">Fecha y hora</t>
  </si>
  <si>
    <t xml:space="preserve">Inicio y fin de reserva deben ser TIMESTAMP para bloquear solapamientos.</t>
  </si>
  <si>
    <t xml:space="preserve">Hora del día</t>
  </si>
  <si>
    <t xml:space="preserve">Horarios de disponibilidad.</t>
  </si>
  <si>
    <t xml:space="preserve">Latitud / longitud</t>
  </si>
  <si>
    <t xml:space="preserve">Contraseña</t>
  </si>
  <si>
    <t xml:space="preserve">Solo el hash.</t>
  </si>
  <si>
    <t xml:space="preserve">Fotos y archivos</t>
  </si>
  <si>
    <t xml:space="preserve">Se guarda la URL, no la imagen.</t>
  </si>
  <si>
    <t xml:space="preserve">Convenciones</t>
  </si>
  <si>
    <t xml:space="preserve">Toda tabla tiene id UUID como PK, salvo FAVORITO y PREFERENCIA_NOTIFICACION (PK compuesta).</t>
  </si>
  <si>
    <t xml:space="preserve">Los valores de las enumeraciones del documento (ENTRADA, EN_USO, DEPOSITO...) se guardan en minúsculas (entrada, en_uso, deposito).</t>
  </si>
  <si>
    <t xml:space="preserve">Los nombres de tabla van en MAYÚSCULAS y los de campo en snake_case; las FK se llaman id_&lt;rol&gt;.</t>
  </si>
  <si>
    <t xml:space="preserve">Los estados y tipos son VARCHAR con valores fijos listados en Notas; si prefieres catálogos, cada lista pasa a su propia tabla.</t>
  </si>
  <si>
    <t xml:space="preserve">Llave 'FK' con Obligatorio 'No' significa FK opcional (acepta NULL).</t>
  </si>
  <si>
    <t xml:space="preserve">Datos sensibles a cifrar: numero_documento, documento_url y selfie_url (sección 9 del documento del proyecto).</t>
  </si>
  <si>
    <t xml:space="preserve">No se guardan datos de tarjeta: la pasarela externa los procesa y LUMO guarda solo la referencia.</t>
  </si>
  <si>
    <t xml:space="preserve">Totales calculados (ingresos, ocupación, promedio de calificación, número de reservas) no se guardan: salen de consultas (HU-028, 066, 069).</t>
  </si>
  <si>
    <t xml:space="preserve">Fases (colores del backlog)</t>
  </si>
  <si>
    <t xml:space="preserve">MVP (38 HU)</t>
  </si>
  <si>
    <t xml:space="preserve">Fase 2 (31 HU)</t>
  </si>
  <si>
    <t xml:space="preserve">Fase 3 (8 HU)</t>
  </si>
  <si>
    <t xml:space="preserve">Decisiones asumidas en esta versión (cámbialas si prefieres otra)</t>
  </si>
  <si>
    <t xml:space="preserve">Se conservan PARQUEADERO (el lugar publicado) y ESPACIO_PARQUEADERO (cada cupo); la reserva se hace sobre el espacio.</t>
  </si>
  <si>
    <t xml:space="preserve">La ubicación (clase Ubicacion) va dentro de PARQUEADERO, sin tabla aparte.</t>
  </si>
  <si>
    <t xml:space="preserve">USUARIO mantiene banderas de rol, porque una persona puede ser conductor y propietario.</t>
  </si>
  <si>
    <t xml:space="preserve">TIPO_DE_PARQUEADERO es un catálogo (la tabla que ya creaste); los demás estados y tipos son VARCHAR con valores fijos.</t>
  </si>
  <si>
    <t xml:space="preserve">TARIFA reemplaza a PRECIO_PARQUEADERO. El precio dinámico lo calcula el backend y queda guardado en RESERVA.precio_aplicado.</t>
  </si>
  <si>
    <t xml:space="preserve">Pagos: depósito al reservar y pago final al salir (documento), junto con efectivo, saldo pendiente y comisión (backlog).</t>
  </si>
  <si>
    <t xml:space="preserve">DEUDA_CONDUCTOR (el conductor no pagó el saldo) es distinta de SALDO_PENDIENTE (el propietario debe comisión por efectivo).</t>
  </si>
  <si>
    <t xml:space="preserve">SALDO_PENDIENTE tiene una fila por comisión en efectivo, y CUENTA_COBRO es la cuenta donde el propietario recibe sus pagos (HU-044).</t>
  </si>
  <si>
    <t xml:space="preserve">OTP guardado legible porque se le muestra al conductor; es de vida corta y un solo uso.</t>
  </si>
  <si>
    <t xml:space="preserve">Tabla SESION para poder invalidar sesiones (HU-007); si usas solo JWT sin estado, puedes quitarla.</t>
  </si>
  <si>
    <t xml:space="preserve">Características del parqueadero como BOOLEAN, soporte como tickets dentro de la app y CONFIGURACION general con historial.</t>
  </si>
  <si>
    <t xml:space="preserve">Fuentes</t>
  </si>
  <si>
    <t xml:space="preserve">Documento del proyecto (sección 5.2), backlog reorganizado (77 HU en 12 épicas) y DIAGRAMAS_LUMO_DOCUMENTO (casos de uso, clases, secuencia y componentes).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</si>
</sst>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563C1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C7CE"/>
        <bgColor rgb="FFF4CCCC"/>
      </patternFill>
    </fill>
    <fill>
      <patternFill patternType="solid">
        <fgColor rgb="FFFFEB9C"/>
        <bgColor rgb="FFEDEDED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DDEBF7"/>
      </patternFill>
    </fill>
    <fill>
      <patternFill patternType="solid">
        <fgColor rgb="FFF4CCCC"/>
        <bgColor rgb="FFFFC7CE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medium">
        <color rgb="FF1F3864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5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4CC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EDEDED"/>
      <rgbColor rgb="FFDDEBF7"/>
      <rgbColor rgb="FF660066"/>
      <rgbColor rgb="FFFF8080"/>
      <rgbColor rgb="FF0563C1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34"/>
    <col collapsed="false" customWidth="true" hidden="false" outlineLevel="0" max="6" min="6" style="0" width="80"/>
    <col collapsed="false" customWidth="true" hidden="false" outlineLevel="0" max="8" min="7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3.85" hidden="false" customHeight="false" outlineLevel="0" collapsed="false">
      <c r="A5" s="4" t="n">
        <v>1</v>
      </c>
      <c r="B5" s="5" t="s">
        <v>10</v>
      </c>
      <c r="C5" s="6" t="s">
        <v>11</v>
      </c>
      <c r="D5" s="7" t="s">
        <v>12</v>
      </c>
      <c r="E5" s="4" t="s">
        <v>13</v>
      </c>
      <c r="F5" s="4" t="s">
        <v>14</v>
      </c>
      <c r="G5" s="4" t="n">
        <f aca="false">COUNTIF(1_Identidad_Perfil!$A:$A,B5)</f>
        <v>19</v>
      </c>
      <c r="H5" s="4" t="n">
        <v>0</v>
      </c>
    </row>
    <row r="6" customFormat="false" ht="15" hidden="false" customHeight="false" outlineLevel="0" collapsed="false">
      <c r="A6" s="4" t="n">
        <v>2</v>
      </c>
      <c r="B6" s="5" t="s">
        <v>15</v>
      </c>
      <c r="C6" s="6" t="s">
        <v>11</v>
      </c>
      <c r="D6" s="7" t="s">
        <v>12</v>
      </c>
      <c r="E6" s="4" t="s">
        <v>16</v>
      </c>
      <c r="F6" s="4" t="s">
        <v>17</v>
      </c>
      <c r="G6" s="4" t="n">
        <f aca="false">COUNTIF(1_Identidad_Perfil!$A:$A,B6)</f>
        <v>6</v>
      </c>
      <c r="H6" s="4" t="n">
        <v>1</v>
      </c>
    </row>
    <row r="7" customFormat="false" ht="23.85" hidden="false" customHeight="false" outlineLevel="0" collapsed="false">
      <c r="A7" s="4" t="n">
        <v>3</v>
      </c>
      <c r="B7" s="5" t="s">
        <v>18</v>
      </c>
      <c r="C7" s="6" t="s">
        <v>11</v>
      </c>
      <c r="D7" s="7" t="s">
        <v>12</v>
      </c>
      <c r="E7" s="4" t="s">
        <v>19</v>
      </c>
      <c r="F7" s="4" t="s">
        <v>20</v>
      </c>
      <c r="G7" s="4" t="n">
        <f aca="false">COUNTIF(1_Identidad_Perfil!$A:$A,B7)</f>
        <v>6</v>
      </c>
      <c r="H7" s="4" t="n">
        <v>1</v>
      </c>
    </row>
    <row r="8" customFormat="false" ht="23.85" hidden="false" customHeight="false" outlineLevel="0" collapsed="false">
      <c r="A8" s="4" t="n">
        <v>4</v>
      </c>
      <c r="B8" s="5" t="s">
        <v>21</v>
      </c>
      <c r="C8" s="6" t="s">
        <v>11</v>
      </c>
      <c r="D8" s="7" t="s">
        <v>12</v>
      </c>
      <c r="E8" s="4" t="s">
        <v>22</v>
      </c>
      <c r="F8" s="4" t="s">
        <v>23</v>
      </c>
      <c r="G8" s="4" t="n">
        <f aca="false">COUNTIF(1_Identidad_Perfil!$A:$A,B8)</f>
        <v>6</v>
      </c>
      <c r="H8" s="4" t="n">
        <v>1</v>
      </c>
    </row>
    <row r="9" customFormat="false" ht="15" hidden="false" customHeight="false" outlineLevel="0" collapsed="false">
      <c r="A9" s="4" t="n">
        <v>5</v>
      </c>
      <c r="B9" s="5" t="s">
        <v>24</v>
      </c>
      <c r="C9" s="6" t="s">
        <v>11</v>
      </c>
      <c r="D9" s="8" t="s">
        <v>25</v>
      </c>
      <c r="E9" s="4" t="s">
        <v>26</v>
      </c>
      <c r="F9" s="4" t="s">
        <v>27</v>
      </c>
      <c r="G9" s="4" t="n">
        <f aca="false">COUNTIF(1_Identidad_Perfil!$A:$A,B9)</f>
        <v>4</v>
      </c>
      <c r="H9" s="4" t="n">
        <v>1</v>
      </c>
    </row>
    <row r="10" customFormat="false" ht="15" hidden="false" customHeight="false" outlineLevel="0" collapsed="false">
      <c r="A10" s="4" t="n">
        <v>6</v>
      </c>
      <c r="B10" s="5" t="s">
        <v>28</v>
      </c>
      <c r="C10" s="6" t="s">
        <v>11</v>
      </c>
      <c r="D10" s="7" t="s">
        <v>12</v>
      </c>
      <c r="E10" s="4" t="s">
        <v>29</v>
      </c>
      <c r="F10" s="4" t="s">
        <v>30</v>
      </c>
      <c r="G10" s="4" t="n">
        <f aca="false">COUNTIF(1_Identidad_Perfil!$A:$A,B10)</f>
        <v>9</v>
      </c>
      <c r="H10" s="4" t="n">
        <v>1</v>
      </c>
    </row>
    <row r="11" customFormat="false" ht="15" hidden="false" customHeight="false" outlineLevel="0" collapsed="false">
      <c r="A11" s="4" t="n">
        <v>7</v>
      </c>
      <c r="B11" s="5" t="s">
        <v>31</v>
      </c>
      <c r="C11" s="6" t="s">
        <v>11</v>
      </c>
      <c r="D11" s="8" t="s">
        <v>25</v>
      </c>
      <c r="E11" s="4" t="s">
        <v>32</v>
      </c>
      <c r="F11" s="4" t="s">
        <v>33</v>
      </c>
      <c r="G11" s="4" t="n">
        <f aca="false">COUNTIF(1_Identidad_Perfil!$A:$A,B11)</f>
        <v>10</v>
      </c>
      <c r="H11" s="4" t="n">
        <v>1</v>
      </c>
    </row>
    <row r="12" customFormat="false" ht="23.85" hidden="false" customHeight="false" outlineLevel="0" collapsed="false">
      <c r="A12" s="4" t="n">
        <v>8</v>
      </c>
      <c r="B12" s="5" t="s">
        <v>34</v>
      </c>
      <c r="C12" s="6" t="s">
        <v>35</v>
      </c>
      <c r="D12" s="7" t="s">
        <v>12</v>
      </c>
      <c r="E12" s="4" t="s">
        <v>36</v>
      </c>
      <c r="F12" s="4" t="s">
        <v>37</v>
      </c>
      <c r="G12" s="4" t="n">
        <f aca="false">COUNTIF(2_Propietario!$A:$A,B12)</f>
        <v>18</v>
      </c>
      <c r="H12" s="4" t="n">
        <v>1</v>
      </c>
    </row>
    <row r="13" customFormat="false" ht="23.85" hidden="false" customHeight="false" outlineLevel="0" collapsed="false">
      <c r="A13" s="4" t="n">
        <v>9</v>
      </c>
      <c r="B13" s="5" t="s">
        <v>38</v>
      </c>
      <c r="C13" s="6" t="s">
        <v>35</v>
      </c>
      <c r="D13" s="7" t="s">
        <v>12</v>
      </c>
      <c r="E13" s="4" t="s">
        <v>39</v>
      </c>
      <c r="F13" s="4" t="s">
        <v>40</v>
      </c>
      <c r="G13" s="4" t="n">
        <f aca="false">COUNTIF(2_Propietario!$A:$A,B13)</f>
        <v>4</v>
      </c>
      <c r="H13" s="4" t="n">
        <v>0</v>
      </c>
    </row>
    <row r="14" customFormat="false" ht="23.85" hidden="false" customHeight="false" outlineLevel="0" collapsed="false">
      <c r="A14" s="4" t="n">
        <v>10</v>
      </c>
      <c r="B14" s="5" t="s">
        <v>41</v>
      </c>
      <c r="C14" s="6" t="s">
        <v>35</v>
      </c>
      <c r="D14" s="7" t="s">
        <v>12</v>
      </c>
      <c r="E14" s="4" t="s">
        <v>42</v>
      </c>
      <c r="F14" s="4" t="s">
        <v>43</v>
      </c>
      <c r="G14" s="4" t="n">
        <f aca="false">COUNTIF(2_Propietario!$A:$A,B14)</f>
        <v>10</v>
      </c>
      <c r="H14" s="4" t="n">
        <v>2</v>
      </c>
    </row>
    <row r="15" customFormat="false" ht="15" hidden="false" customHeight="false" outlineLevel="0" collapsed="false">
      <c r="A15" s="4" t="n">
        <v>11</v>
      </c>
      <c r="B15" s="5" t="s">
        <v>44</v>
      </c>
      <c r="C15" s="6" t="s">
        <v>35</v>
      </c>
      <c r="D15" s="7" t="s">
        <v>12</v>
      </c>
      <c r="E15" s="4" t="s">
        <v>45</v>
      </c>
      <c r="F15" s="4" t="s">
        <v>46</v>
      </c>
      <c r="G15" s="4" t="n">
        <f aca="false">COUNTIF(2_Propietario!$A:$A,B15)</f>
        <v>4</v>
      </c>
      <c r="H15" s="4" t="n">
        <v>2</v>
      </c>
    </row>
    <row r="16" customFormat="false" ht="46.25" hidden="false" customHeight="false" outlineLevel="0" collapsed="false">
      <c r="A16" s="4" t="n">
        <v>12</v>
      </c>
      <c r="B16" s="5" t="s">
        <v>47</v>
      </c>
      <c r="C16" s="6" t="s">
        <v>35</v>
      </c>
      <c r="D16" s="7" t="s">
        <v>12</v>
      </c>
      <c r="E16" s="4" t="s">
        <v>48</v>
      </c>
      <c r="F16" s="4" t="s">
        <v>49</v>
      </c>
      <c r="G16" s="4" t="n">
        <f aca="false">COUNTIF(2_Propietario!$A:$A,B16)</f>
        <v>12</v>
      </c>
      <c r="H16" s="4" t="n">
        <v>3</v>
      </c>
    </row>
    <row r="17" customFormat="false" ht="15" hidden="false" customHeight="false" outlineLevel="0" collapsed="false">
      <c r="A17" s="4" t="n">
        <v>13</v>
      </c>
      <c r="B17" s="5" t="s">
        <v>50</v>
      </c>
      <c r="C17" s="6" t="s">
        <v>35</v>
      </c>
      <c r="D17" s="7" t="s">
        <v>12</v>
      </c>
      <c r="E17" s="4" t="s">
        <v>51</v>
      </c>
      <c r="F17" s="4" t="s">
        <v>52</v>
      </c>
      <c r="G17" s="4" t="n">
        <f aca="false">COUNTIF(2_Propietario!$A:$A,B17)</f>
        <v>5</v>
      </c>
      <c r="H17" s="4" t="n">
        <v>2</v>
      </c>
    </row>
    <row r="18" customFormat="false" ht="23.85" hidden="false" customHeight="false" outlineLevel="0" collapsed="false">
      <c r="A18" s="4" t="n">
        <v>14</v>
      </c>
      <c r="B18" s="5" t="s">
        <v>53</v>
      </c>
      <c r="C18" s="6" t="s">
        <v>35</v>
      </c>
      <c r="D18" s="7" t="s">
        <v>12</v>
      </c>
      <c r="E18" s="4" t="s">
        <v>54</v>
      </c>
      <c r="F18" s="4" t="s">
        <v>55</v>
      </c>
      <c r="G18" s="4" t="n">
        <f aca="false">COUNTIF(2_Propietario!$A:$A,B18)</f>
        <v>6</v>
      </c>
      <c r="H18" s="4" t="n">
        <v>3</v>
      </c>
    </row>
    <row r="19" customFormat="false" ht="23.85" hidden="false" customHeight="false" outlineLevel="0" collapsed="false">
      <c r="A19" s="4" t="n">
        <v>15</v>
      </c>
      <c r="B19" s="5" t="s">
        <v>56</v>
      </c>
      <c r="C19" s="6" t="s">
        <v>57</v>
      </c>
      <c r="D19" s="7" t="s">
        <v>12</v>
      </c>
      <c r="E19" s="4" t="s">
        <v>58</v>
      </c>
      <c r="F19" s="4" t="s">
        <v>59</v>
      </c>
      <c r="G19" s="4" t="n">
        <f aca="false">COUNTIF(3_Conductor_Reservas!$A:$A,B19)</f>
        <v>24</v>
      </c>
      <c r="H19" s="4" t="n">
        <v>4</v>
      </c>
    </row>
    <row r="20" customFormat="false" ht="23.85" hidden="false" customHeight="false" outlineLevel="0" collapsed="false">
      <c r="A20" s="4" t="n">
        <v>16</v>
      </c>
      <c r="B20" s="5" t="s">
        <v>60</v>
      </c>
      <c r="C20" s="6" t="s">
        <v>57</v>
      </c>
      <c r="D20" s="7" t="s">
        <v>12</v>
      </c>
      <c r="E20" s="4" t="s">
        <v>61</v>
      </c>
      <c r="F20" s="4" t="s">
        <v>62</v>
      </c>
      <c r="G20" s="4" t="n">
        <f aca="false">COUNTIF(3_Conductor_Reservas!$A:$A,B20)</f>
        <v>8</v>
      </c>
      <c r="H20" s="4" t="n">
        <v>5</v>
      </c>
    </row>
    <row r="21" customFormat="false" ht="15" hidden="false" customHeight="false" outlineLevel="0" collapsed="false">
      <c r="A21" s="4" t="n">
        <v>17</v>
      </c>
      <c r="B21" s="5" t="s">
        <v>63</v>
      </c>
      <c r="C21" s="6" t="s">
        <v>57</v>
      </c>
      <c r="D21" s="8" t="s">
        <v>25</v>
      </c>
      <c r="E21" s="4" t="s">
        <v>64</v>
      </c>
      <c r="F21" s="4" t="s">
        <v>65</v>
      </c>
      <c r="G21" s="4" t="n">
        <f aca="false">COUNTIF(3_Conductor_Reservas!$A:$A,B21)</f>
        <v>6</v>
      </c>
      <c r="H21" s="4" t="n">
        <v>5</v>
      </c>
    </row>
    <row r="22" customFormat="false" ht="15" hidden="false" customHeight="false" outlineLevel="0" collapsed="false">
      <c r="A22" s="4" t="n">
        <v>18</v>
      </c>
      <c r="B22" s="5" t="s">
        <v>66</v>
      </c>
      <c r="C22" s="6" t="s">
        <v>57</v>
      </c>
      <c r="D22" s="9" t="s">
        <v>67</v>
      </c>
      <c r="E22" s="4" t="s">
        <v>68</v>
      </c>
      <c r="F22" s="4" t="s">
        <v>69</v>
      </c>
      <c r="G22" s="4" t="n">
        <f aca="false">COUNTIF(3_Conductor_Reservas!$A:$A,B22)</f>
        <v>3</v>
      </c>
      <c r="H22" s="4" t="n">
        <v>2</v>
      </c>
    </row>
    <row r="23" customFormat="false" ht="23.85" hidden="false" customHeight="false" outlineLevel="0" collapsed="false">
      <c r="A23" s="4" t="n">
        <v>19</v>
      </c>
      <c r="B23" s="5" t="s">
        <v>70</v>
      </c>
      <c r="C23" s="6" t="s">
        <v>71</v>
      </c>
      <c r="D23" s="7" t="s">
        <v>12</v>
      </c>
      <c r="E23" s="4" t="s">
        <v>72</v>
      </c>
      <c r="F23" s="4" t="s">
        <v>73</v>
      </c>
      <c r="G23" s="4" t="n">
        <f aca="false">COUNTIF(4_Pagos_Facturacion!$A:$A,B23)</f>
        <v>16</v>
      </c>
      <c r="H23" s="4" t="n">
        <v>5</v>
      </c>
    </row>
    <row r="24" customFormat="false" ht="15" hidden="false" customHeight="false" outlineLevel="0" collapsed="false">
      <c r="A24" s="4" t="n">
        <v>20</v>
      </c>
      <c r="B24" s="5" t="s">
        <v>74</v>
      </c>
      <c r="C24" s="6" t="s">
        <v>71</v>
      </c>
      <c r="D24" s="7" t="s">
        <v>12</v>
      </c>
      <c r="E24" s="4" t="s">
        <v>75</v>
      </c>
      <c r="F24" s="4" t="s">
        <v>76</v>
      </c>
      <c r="G24" s="4" t="n">
        <f aca="false">COUNTIF(4_Pagos_Facturacion!$A:$A,B24)</f>
        <v>4</v>
      </c>
      <c r="H24" s="4" t="n">
        <v>0</v>
      </c>
    </row>
    <row r="25" customFormat="false" ht="23.85" hidden="false" customHeight="false" outlineLevel="0" collapsed="false">
      <c r="A25" s="4" t="n">
        <v>21</v>
      </c>
      <c r="B25" s="5" t="s">
        <v>77</v>
      </c>
      <c r="C25" s="6" t="s">
        <v>71</v>
      </c>
      <c r="D25" s="7" t="s">
        <v>12</v>
      </c>
      <c r="E25" s="4" t="s">
        <v>78</v>
      </c>
      <c r="F25" s="4" t="s">
        <v>79</v>
      </c>
      <c r="G25" s="4" t="n">
        <f aca="false">COUNTIF(4_Pagos_Facturacion!$A:$A,B25)</f>
        <v>7</v>
      </c>
      <c r="H25" s="4" t="n">
        <v>6</v>
      </c>
    </row>
    <row r="26" customFormat="false" ht="35.05" hidden="false" customHeight="false" outlineLevel="0" collapsed="false">
      <c r="A26" s="4" t="n">
        <v>22</v>
      </c>
      <c r="B26" s="5" t="s">
        <v>80</v>
      </c>
      <c r="C26" s="6" t="s">
        <v>71</v>
      </c>
      <c r="D26" s="7" t="s">
        <v>12</v>
      </c>
      <c r="E26" s="4" t="s">
        <v>81</v>
      </c>
      <c r="F26" s="4" t="s">
        <v>82</v>
      </c>
      <c r="G26" s="4" t="n">
        <f aca="false">COUNTIF(4_Pagos_Facturacion!$A:$A,B26)</f>
        <v>8</v>
      </c>
      <c r="H26" s="4" t="n">
        <v>5</v>
      </c>
    </row>
    <row r="27" customFormat="false" ht="23.85" hidden="false" customHeight="false" outlineLevel="0" collapsed="false">
      <c r="A27" s="4" t="n">
        <v>23</v>
      </c>
      <c r="B27" s="5" t="s">
        <v>83</v>
      </c>
      <c r="C27" s="6" t="s">
        <v>71</v>
      </c>
      <c r="D27" s="7" t="s">
        <v>12</v>
      </c>
      <c r="E27" s="4" t="s">
        <v>84</v>
      </c>
      <c r="F27" s="4" t="s">
        <v>85</v>
      </c>
      <c r="G27" s="4" t="n">
        <f aca="false">COUNTIF(4_Pagos_Facturacion!$A:$A,B27)</f>
        <v>7</v>
      </c>
      <c r="H27" s="4" t="n">
        <v>1</v>
      </c>
    </row>
    <row r="28" customFormat="false" ht="15" hidden="false" customHeight="false" outlineLevel="0" collapsed="false">
      <c r="A28" s="4" t="n">
        <v>24</v>
      </c>
      <c r="B28" s="5" t="s">
        <v>86</v>
      </c>
      <c r="C28" s="6" t="s">
        <v>71</v>
      </c>
      <c r="D28" s="8" t="s">
        <v>25</v>
      </c>
      <c r="E28" s="4" t="s">
        <v>87</v>
      </c>
      <c r="F28" s="4" t="s">
        <v>88</v>
      </c>
      <c r="G28" s="4" t="n">
        <f aca="false">COUNTIF(4_Pagos_Facturacion!$A:$A,B28)</f>
        <v>10</v>
      </c>
      <c r="H28" s="4" t="n">
        <v>2</v>
      </c>
    </row>
    <row r="29" customFormat="false" ht="15" hidden="false" customHeight="false" outlineLevel="0" collapsed="false">
      <c r="A29" s="4" t="n">
        <v>25</v>
      </c>
      <c r="B29" s="5" t="s">
        <v>89</v>
      </c>
      <c r="C29" s="6" t="s">
        <v>71</v>
      </c>
      <c r="D29" s="8" t="s">
        <v>25</v>
      </c>
      <c r="E29" s="4" t="s">
        <v>90</v>
      </c>
      <c r="F29" s="4" t="s">
        <v>91</v>
      </c>
      <c r="G29" s="4" t="n">
        <f aca="false">COUNTIF(4_Pagos_Facturacion!$A:$A,B29)</f>
        <v>6</v>
      </c>
      <c r="H29" s="4" t="n">
        <v>6</v>
      </c>
    </row>
    <row r="30" customFormat="false" ht="23.85" hidden="false" customHeight="false" outlineLevel="0" collapsed="false">
      <c r="A30" s="4" t="n">
        <v>26</v>
      </c>
      <c r="B30" s="5" t="s">
        <v>92</v>
      </c>
      <c r="C30" s="6" t="s">
        <v>71</v>
      </c>
      <c r="D30" s="7" t="s">
        <v>12</v>
      </c>
      <c r="E30" s="4" t="s">
        <v>93</v>
      </c>
      <c r="F30" s="4" t="s">
        <v>94</v>
      </c>
      <c r="G30" s="4" t="n">
        <f aca="false">COUNTIF(4_Pagos_Facturacion!$A:$A,B30)</f>
        <v>5</v>
      </c>
      <c r="H30" s="4" t="n">
        <v>0</v>
      </c>
    </row>
    <row r="31" customFormat="false" ht="23.85" hidden="false" customHeight="false" outlineLevel="0" collapsed="false">
      <c r="A31" s="4" t="n">
        <v>27</v>
      </c>
      <c r="B31" s="5" t="s">
        <v>95</v>
      </c>
      <c r="C31" s="6" t="s">
        <v>96</v>
      </c>
      <c r="D31" s="7" t="s">
        <v>12</v>
      </c>
      <c r="E31" s="4" t="s">
        <v>97</v>
      </c>
      <c r="F31" s="4" t="s">
        <v>98</v>
      </c>
      <c r="G31" s="4" t="n">
        <f aca="false">COUNTIF(5_Comunicacion_Confianza!$A:$A,B31)</f>
        <v>10</v>
      </c>
      <c r="H31" s="4" t="n">
        <v>5</v>
      </c>
    </row>
    <row r="32" customFormat="false" ht="15" hidden="false" customHeight="false" outlineLevel="0" collapsed="false">
      <c r="A32" s="4" t="n">
        <v>28</v>
      </c>
      <c r="B32" s="5" t="s">
        <v>99</v>
      </c>
      <c r="C32" s="6" t="s">
        <v>96</v>
      </c>
      <c r="D32" s="7" t="s">
        <v>12</v>
      </c>
      <c r="E32" s="4" t="s">
        <v>100</v>
      </c>
      <c r="F32" s="4" t="s">
        <v>101</v>
      </c>
      <c r="G32" s="4" t="n">
        <f aca="false">COUNTIF(5_Comunicacion_Confianza!$A:$A,B32)</f>
        <v>9</v>
      </c>
      <c r="H32" s="4" t="n">
        <v>5</v>
      </c>
    </row>
    <row r="33" customFormat="false" ht="15" hidden="false" customHeight="false" outlineLevel="0" collapsed="false">
      <c r="A33" s="4" t="n">
        <v>29</v>
      </c>
      <c r="B33" s="5" t="s">
        <v>102</v>
      </c>
      <c r="C33" s="6" t="s">
        <v>96</v>
      </c>
      <c r="D33" s="7" t="s">
        <v>12</v>
      </c>
      <c r="E33" s="4" t="s">
        <v>103</v>
      </c>
      <c r="F33" s="4" t="s">
        <v>104</v>
      </c>
      <c r="G33" s="4" t="n">
        <f aca="false">COUNTIF(5_Comunicacion_Confianza!$A:$A,B33)</f>
        <v>10</v>
      </c>
      <c r="H33" s="4" t="n">
        <v>1</v>
      </c>
    </row>
    <row r="34" customFormat="false" ht="15" hidden="false" customHeight="false" outlineLevel="0" collapsed="false">
      <c r="A34" s="4" t="n">
        <v>30</v>
      </c>
      <c r="B34" s="5" t="s">
        <v>105</v>
      </c>
      <c r="C34" s="6" t="s">
        <v>96</v>
      </c>
      <c r="D34" s="8" t="s">
        <v>25</v>
      </c>
      <c r="E34" s="4" t="s">
        <v>106</v>
      </c>
      <c r="F34" s="4" t="s">
        <v>107</v>
      </c>
      <c r="G34" s="4" t="n">
        <f aca="false">COUNTIF(5_Comunicacion_Confianza!$A:$A,B34)</f>
        <v>8</v>
      </c>
      <c r="H34" s="4" t="n">
        <v>2</v>
      </c>
    </row>
    <row r="35" customFormat="false" ht="15" hidden="false" customHeight="false" outlineLevel="0" collapsed="false">
      <c r="A35" s="4" t="n">
        <v>31</v>
      </c>
      <c r="B35" s="5" t="s">
        <v>108</v>
      </c>
      <c r="C35" s="6" t="s">
        <v>96</v>
      </c>
      <c r="D35" s="7" t="s">
        <v>12</v>
      </c>
      <c r="E35" s="4" t="s">
        <v>109</v>
      </c>
      <c r="F35" s="4" t="s">
        <v>110</v>
      </c>
      <c r="G35" s="4" t="n">
        <f aca="false">COUNTIF(5_Comunicacion_Confianza!$A:$A,B35)</f>
        <v>12</v>
      </c>
      <c r="H35" s="4" t="n">
        <v>5</v>
      </c>
    </row>
    <row r="36" customFormat="false" ht="15" hidden="false" customHeight="false" outlineLevel="0" collapsed="false">
      <c r="A36" s="4" t="n">
        <v>32</v>
      </c>
      <c r="B36" s="5" t="s">
        <v>111</v>
      </c>
      <c r="C36" s="6" t="s">
        <v>96</v>
      </c>
      <c r="D36" s="7" t="s">
        <v>12</v>
      </c>
      <c r="E36" s="4" t="s">
        <v>112</v>
      </c>
      <c r="F36" s="4" t="s">
        <v>113</v>
      </c>
      <c r="G36" s="4" t="n">
        <f aca="false">COUNTIF(5_Comunicacion_Confianza!$A:$A,B36)</f>
        <v>9</v>
      </c>
      <c r="H36" s="4" t="n">
        <v>5</v>
      </c>
    </row>
    <row r="37" customFormat="false" ht="15" hidden="false" customHeight="false" outlineLevel="0" collapsed="false">
      <c r="A37" s="4" t="n">
        <v>33</v>
      </c>
      <c r="B37" s="5" t="s">
        <v>114</v>
      </c>
      <c r="C37" s="6" t="s">
        <v>96</v>
      </c>
      <c r="D37" s="9" t="s">
        <v>67</v>
      </c>
      <c r="E37" s="4" t="s">
        <v>115</v>
      </c>
      <c r="F37" s="4" t="s">
        <v>116</v>
      </c>
      <c r="G37" s="4" t="n">
        <f aca="false">COUNTIF(5_Comunicacion_Confianza!$A:$A,B37)</f>
        <v>4</v>
      </c>
      <c r="H37" s="4" t="n">
        <v>1</v>
      </c>
    </row>
    <row r="39" customFormat="false" ht="15" hidden="false" customHeight="false" outlineLevel="0" collapsed="false">
      <c r="B39" s="10" t="s">
        <v>117</v>
      </c>
      <c r="C39" s="11" t="n">
        <f aca="false">COUNTA(B5:B37)</f>
        <v>33</v>
      </c>
    </row>
    <row r="40" customFormat="false" ht="15" hidden="false" customHeight="false" outlineLevel="0" collapsed="false">
      <c r="B40" s="10" t="s">
        <v>118</v>
      </c>
      <c r="C40" s="11" t="n">
        <f aca="false">SUM(G5:G37)</f>
        <v>285</v>
      </c>
    </row>
    <row r="41" customFormat="false" ht="15" hidden="false" customHeight="false" outlineLevel="0" collapsed="false">
      <c r="B41" s="10" t="s">
        <v>119</v>
      </c>
      <c r="C41" s="11" t="n">
        <f aca="false">COUNTIF(D5:D37,"MVP")</f>
        <v>25</v>
      </c>
    </row>
    <row r="42" customFormat="false" ht="15" hidden="false" customHeight="false" outlineLevel="0" collapsed="false">
      <c r="B42" s="10" t="s">
        <v>120</v>
      </c>
      <c r="C42" s="11" t="n">
        <f aca="false">COUNTIF(D5:D37,"F2")</f>
        <v>6</v>
      </c>
    </row>
    <row r="43" customFormat="false" ht="15" hidden="false" customHeight="false" outlineLevel="0" collapsed="false">
      <c r="B43" s="10" t="s">
        <v>121</v>
      </c>
      <c r="C43" s="11" t="n">
        <f aca="false">COUNTIF(D5:D37,"F3")</f>
        <v>2</v>
      </c>
    </row>
    <row r="45" customFormat="false" ht="15" hidden="false" customHeight="false" outlineLevel="0" collapsed="false">
      <c r="B45" s="2" t="s">
        <v>122</v>
      </c>
    </row>
  </sheetData>
  <autoFilter ref="A4:H37"/>
  <hyperlinks>
    <hyperlink ref="C5" location="'1_Identidad_Perfil'!A1" display="Identidad y perfil"/>
    <hyperlink ref="C6" location="'1_Identidad_Perfil'!A1" display="Identidad y perfil"/>
    <hyperlink ref="C7" location="'1_Identidad_Perfil'!A1" display="Identidad y perfil"/>
    <hyperlink ref="C8" location="'1_Identidad_Perfil'!A1" display="Identidad y perfil"/>
    <hyperlink ref="C9" location="'1_Identidad_Perfil'!A1" display="Identidad y perfil"/>
    <hyperlink ref="C10" location="'1_Identidad_Perfil'!A1" display="Identidad y perfil"/>
    <hyperlink ref="C11" location="'1_Identidad_Perfil'!A1" display="Identidad y perfil"/>
    <hyperlink ref="C12" location="'2_Propietario'!A1" display="Propietario (gestión de espacios)"/>
    <hyperlink ref="C13" location="'2_Propietario'!A1" display="Propietario (gestión de espacios)"/>
    <hyperlink ref="C14" location="'2_Propietario'!A1" display="Propietario (gestión de espacios)"/>
    <hyperlink ref="C15" location="'2_Propietario'!A1" display="Propietario (gestión de espacios)"/>
    <hyperlink ref="C16" location="'2_Propietario'!A1" display="Propietario (gestión de espacios)"/>
    <hyperlink ref="C17" location="'2_Propietario'!A1" display="Propietario (gestión de espacios)"/>
    <hyperlink ref="C18" location="'2_Propietario'!A1" display="Propietario (gestión de espacios)"/>
    <hyperlink ref="C19" location="'3_Conductor_Reservas'!A1" display="Conductor (búsqueda y reserva)"/>
    <hyperlink ref="C20" location="'3_Conductor_Reservas'!A1" display="Conductor (búsqueda y reserva)"/>
    <hyperlink ref="C21" location="'3_Conductor_Reservas'!A1" display="Conductor (búsqueda y reserva)"/>
    <hyperlink ref="C22" location="'3_Conductor_Reservas'!A1" display="Conductor (búsqueda y reserva)"/>
    <hyperlink ref="C23" location="'4_Pagos_Facturacion'!A1" display="Pagos y facturación"/>
    <hyperlink ref="C24" location="'4_Pagos_Facturacion'!A1" display="Pagos y facturación"/>
    <hyperlink ref="C25" location="'4_Pagos_Facturacion'!A1" display="Pagos y facturación"/>
    <hyperlink ref="C26" location="'4_Pagos_Facturacion'!A1" display="Pagos y facturación"/>
    <hyperlink ref="C27" location="'4_Pagos_Facturacion'!A1" display="Pagos y facturación"/>
    <hyperlink ref="C28" location="'4_Pagos_Facturacion'!A1" display="Pagos y facturación"/>
    <hyperlink ref="C29" location="'4_Pagos_Facturacion'!A1" display="Pagos y facturación"/>
    <hyperlink ref="C30" location="'4_Pagos_Facturacion'!A1" display="Pagos y facturación"/>
    <hyperlink ref="C31" location="'5_Comunicacion_Confianza'!A1" display="Comunicación, confianza y soporte"/>
    <hyperlink ref="C32" location="'5_Comunicacion_Confianza'!A1" display="Comunicación, confianza y soporte"/>
    <hyperlink ref="C33" location="'5_Comunicacion_Confianza'!A1" display="Comunicación, confianza y soporte"/>
    <hyperlink ref="C34" location="'5_Comunicacion_Confianza'!A1" display="Comunicación, confianza y soporte"/>
    <hyperlink ref="C35" location="'5_Comunicacion_Confianza'!A1" display="Comunicación, confianza y soporte"/>
    <hyperlink ref="C36" location="'5_Comunicacion_Confianza'!A1" display="Comunicación, confianza y soporte"/>
    <hyperlink ref="C37" location="'5_Comunicacion_Confianza'!A1" display="Comunicación, confianza y soport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70"/>
    <col collapsed="false" customWidth="true" hidden="false" outlineLevel="0" max="5" min="5" style="0" width="46"/>
    <col collapsed="false" customWidth="true" hidden="false" outlineLevel="0" max="6" min="6" style="0" width="56"/>
  </cols>
  <sheetData>
    <row r="1" customFormat="false" ht="23.85" hidden="false" customHeight="false" outlineLevel="0" collapsed="false">
      <c r="A1" s="3" t="s">
        <v>2</v>
      </c>
      <c r="B1" s="3" t="s">
        <v>123</v>
      </c>
      <c r="C1" s="3" t="s">
        <v>3</v>
      </c>
      <c r="D1" s="3" t="s">
        <v>124</v>
      </c>
      <c r="E1" s="3" t="s">
        <v>125</v>
      </c>
      <c r="F1" s="3" t="s">
        <v>126</v>
      </c>
    </row>
    <row r="2" customFormat="false" ht="23.85" hidden="false" customHeight="false" outlineLevel="0" collapsed="false">
      <c r="A2" s="4" t="n">
        <v>1</v>
      </c>
      <c r="B2" s="12" t="s">
        <v>127</v>
      </c>
      <c r="C2" s="5" t="s">
        <v>41</v>
      </c>
      <c r="D2" s="4" t="s">
        <v>128</v>
      </c>
      <c r="E2" s="4" t="s">
        <v>129</v>
      </c>
      <c r="F2" s="4" t="s">
        <v>130</v>
      </c>
    </row>
    <row r="3" customFormat="false" ht="23.85" hidden="false" customHeight="false" outlineLevel="0" collapsed="false">
      <c r="A3" s="4" t="n">
        <v>2</v>
      </c>
      <c r="B3" s="12" t="s">
        <v>127</v>
      </c>
      <c r="C3" s="5" t="s">
        <v>38</v>
      </c>
      <c r="D3" s="4" t="s">
        <v>131</v>
      </c>
      <c r="E3" s="4" t="s">
        <v>132</v>
      </c>
      <c r="F3" s="4" t="s">
        <v>133</v>
      </c>
    </row>
    <row r="4" customFormat="false" ht="23.85" hidden="false" customHeight="false" outlineLevel="0" collapsed="false">
      <c r="A4" s="4" t="n">
        <v>3</v>
      </c>
      <c r="B4" s="12" t="s">
        <v>127</v>
      </c>
      <c r="C4" s="5" t="s">
        <v>60</v>
      </c>
      <c r="D4" s="4" t="s">
        <v>134</v>
      </c>
      <c r="E4" s="4" t="s">
        <v>135</v>
      </c>
      <c r="F4" s="4" t="s">
        <v>136</v>
      </c>
    </row>
    <row r="5" customFormat="false" ht="15" hidden="false" customHeight="false" outlineLevel="0" collapsed="false">
      <c r="A5" s="4" t="n">
        <v>4</v>
      </c>
      <c r="B5" s="12" t="s">
        <v>127</v>
      </c>
      <c r="C5" s="5" t="s">
        <v>74</v>
      </c>
      <c r="D5" s="4" t="s">
        <v>137</v>
      </c>
      <c r="E5" s="4" t="s">
        <v>138</v>
      </c>
      <c r="F5" s="4" t="s">
        <v>139</v>
      </c>
    </row>
    <row r="6" customFormat="false" ht="23.85" hidden="false" customHeight="false" outlineLevel="0" collapsed="false">
      <c r="A6" s="4" t="n">
        <v>5</v>
      </c>
      <c r="B6" s="12" t="s">
        <v>127</v>
      </c>
      <c r="C6" s="5" t="s">
        <v>77</v>
      </c>
      <c r="D6" s="4" t="s">
        <v>140</v>
      </c>
      <c r="E6" s="4" t="s">
        <v>141</v>
      </c>
      <c r="F6" s="4" t="s">
        <v>142</v>
      </c>
    </row>
    <row r="7" customFormat="false" ht="23.85" hidden="false" customHeight="false" outlineLevel="0" collapsed="false">
      <c r="A7" s="4" t="n">
        <v>6</v>
      </c>
      <c r="B7" s="12" t="s">
        <v>127</v>
      </c>
      <c r="C7" s="5" t="s">
        <v>21</v>
      </c>
      <c r="D7" s="4" t="s">
        <v>143</v>
      </c>
      <c r="E7" s="4" t="s">
        <v>144</v>
      </c>
      <c r="F7" s="4" t="s">
        <v>145</v>
      </c>
    </row>
    <row r="8" customFormat="false" ht="23.85" hidden="false" customHeight="false" outlineLevel="0" collapsed="false">
      <c r="A8" s="4" t="n">
        <v>7</v>
      </c>
      <c r="B8" s="13" t="s">
        <v>146</v>
      </c>
      <c r="C8" s="5" t="s">
        <v>147</v>
      </c>
      <c r="D8" s="4" t="s">
        <v>148</v>
      </c>
      <c r="E8" s="4" t="s">
        <v>149</v>
      </c>
      <c r="F8" s="4" t="s">
        <v>150</v>
      </c>
    </row>
    <row r="9" customFormat="false" ht="23.85" hidden="false" customHeight="false" outlineLevel="0" collapsed="false">
      <c r="A9" s="4" t="n">
        <v>8</v>
      </c>
      <c r="B9" s="14" t="s">
        <v>151</v>
      </c>
      <c r="C9" s="5" t="s">
        <v>56</v>
      </c>
      <c r="D9" s="4" t="s">
        <v>152</v>
      </c>
      <c r="E9" s="4" t="s">
        <v>153</v>
      </c>
      <c r="F9" s="4" t="s">
        <v>154</v>
      </c>
    </row>
    <row r="10" customFormat="false" ht="23.85" hidden="false" customHeight="false" outlineLevel="0" collapsed="false">
      <c r="A10" s="4" t="n">
        <v>9</v>
      </c>
      <c r="B10" s="14" t="s">
        <v>151</v>
      </c>
      <c r="C10" s="5" t="s">
        <v>56</v>
      </c>
      <c r="D10" s="4" t="s">
        <v>155</v>
      </c>
      <c r="E10" s="4" t="s">
        <v>156</v>
      </c>
      <c r="F10" s="4" t="s">
        <v>157</v>
      </c>
    </row>
    <row r="11" customFormat="false" ht="23.85" hidden="false" customHeight="false" outlineLevel="0" collapsed="false">
      <c r="A11" s="4" t="n">
        <v>10</v>
      </c>
      <c r="B11" s="14" t="s">
        <v>151</v>
      </c>
      <c r="C11" s="5" t="s">
        <v>56</v>
      </c>
      <c r="D11" s="4" t="s">
        <v>158</v>
      </c>
      <c r="E11" s="4" t="s">
        <v>159</v>
      </c>
      <c r="F11" s="4" t="s">
        <v>160</v>
      </c>
    </row>
    <row r="12" customFormat="false" ht="23.85" hidden="false" customHeight="false" outlineLevel="0" collapsed="false">
      <c r="A12" s="4" t="n">
        <v>11</v>
      </c>
      <c r="B12" s="14" t="s">
        <v>151</v>
      </c>
      <c r="C12" s="5" t="s">
        <v>161</v>
      </c>
      <c r="D12" s="4" t="s">
        <v>162</v>
      </c>
      <c r="E12" s="4" t="s">
        <v>163</v>
      </c>
      <c r="F12" s="4" t="s">
        <v>164</v>
      </c>
    </row>
    <row r="13" customFormat="false" ht="23.85" hidden="false" customHeight="false" outlineLevel="0" collapsed="false">
      <c r="A13" s="4" t="n">
        <v>12</v>
      </c>
      <c r="B13" s="14" t="s">
        <v>151</v>
      </c>
      <c r="C13" s="5" t="s">
        <v>70</v>
      </c>
      <c r="D13" s="4" t="s">
        <v>165</v>
      </c>
      <c r="E13" s="4" t="s">
        <v>166</v>
      </c>
      <c r="F13" s="4" t="s">
        <v>167</v>
      </c>
    </row>
    <row r="14" customFormat="false" ht="23.85" hidden="false" customHeight="false" outlineLevel="0" collapsed="false">
      <c r="A14" s="4" t="n">
        <v>13</v>
      </c>
      <c r="B14" s="14" t="s">
        <v>151</v>
      </c>
      <c r="C14" s="5" t="s">
        <v>34</v>
      </c>
      <c r="D14" s="4" t="s">
        <v>168</v>
      </c>
      <c r="E14" s="4" t="s">
        <v>169</v>
      </c>
      <c r="F14" s="4" t="s">
        <v>170</v>
      </c>
    </row>
    <row r="15" customFormat="false" ht="23.85" hidden="false" customHeight="false" outlineLevel="0" collapsed="false">
      <c r="A15" s="4" t="n">
        <v>14</v>
      </c>
      <c r="B15" s="14" t="s">
        <v>151</v>
      </c>
      <c r="C15" s="5" t="s">
        <v>53</v>
      </c>
      <c r="D15" s="4" t="s">
        <v>171</v>
      </c>
      <c r="E15" s="4" t="s">
        <v>172</v>
      </c>
      <c r="F15" s="4" t="s">
        <v>173</v>
      </c>
    </row>
    <row r="16" customFormat="false" ht="23.85" hidden="false" customHeight="false" outlineLevel="0" collapsed="false">
      <c r="A16" s="4" t="n">
        <v>15</v>
      </c>
      <c r="B16" s="14" t="s">
        <v>151</v>
      </c>
      <c r="C16" s="5" t="s">
        <v>10</v>
      </c>
      <c r="D16" s="4" t="s">
        <v>174</v>
      </c>
      <c r="E16" s="4" t="s">
        <v>175</v>
      </c>
      <c r="F16" s="4" t="s">
        <v>176</v>
      </c>
    </row>
    <row r="17" customFormat="false" ht="15" hidden="false" customHeight="false" outlineLevel="0" collapsed="false">
      <c r="A17" s="4" t="n">
        <v>16</v>
      </c>
      <c r="B17" s="14" t="s">
        <v>151</v>
      </c>
      <c r="C17" s="5" t="s">
        <v>28</v>
      </c>
      <c r="D17" s="4" t="s">
        <v>177</v>
      </c>
      <c r="E17" s="4" t="s">
        <v>178</v>
      </c>
      <c r="F17" s="4" t="s">
        <v>179</v>
      </c>
    </row>
    <row r="18" customFormat="false" ht="23.85" hidden="false" customHeight="false" outlineLevel="0" collapsed="false">
      <c r="A18" s="4" t="n">
        <v>17</v>
      </c>
      <c r="B18" s="14" t="s">
        <v>151</v>
      </c>
      <c r="C18" s="5" t="s">
        <v>92</v>
      </c>
      <c r="D18" s="4" t="s">
        <v>180</v>
      </c>
      <c r="E18" s="4" t="s">
        <v>181</v>
      </c>
      <c r="F18" s="4" t="s">
        <v>182</v>
      </c>
    </row>
    <row r="19" customFormat="false" ht="23.85" hidden="false" customHeight="false" outlineLevel="0" collapsed="false">
      <c r="A19" s="4" t="n">
        <v>18</v>
      </c>
      <c r="B19" s="15" t="s">
        <v>183</v>
      </c>
      <c r="C19" s="5" t="s">
        <v>184</v>
      </c>
      <c r="D19" s="4" t="s">
        <v>185</v>
      </c>
      <c r="E19" s="4" t="s">
        <v>186</v>
      </c>
      <c r="F19" s="4" t="s">
        <v>187</v>
      </c>
    </row>
    <row r="20" customFormat="false" ht="23.85" hidden="false" customHeight="false" outlineLevel="0" collapsed="false">
      <c r="A20" s="4" t="n">
        <v>19</v>
      </c>
      <c r="B20" s="16" t="s">
        <v>188</v>
      </c>
      <c r="C20" s="5" t="s">
        <v>10</v>
      </c>
      <c r="D20" s="4" t="s">
        <v>189</v>
      </c>
      <c r="E20" s="4" t="s">
        <v>190</v>
      </c>
      <c r="F20" s="4" t="s">
        <v>191</v>
      </c>
    </row>
    <row r="21" customFormat="false" ht="23.85" hidden="false" customHeight="false" outlineLevel="0" collapsed="false">
      <c r="A21" s="4" t="n">
        <v>20</v>
      </c>
      <c r="B21" s="16" t="s">
        <v>188</v>
      </c>
      <c r="C21" s="5" t="s">
        <v>192</v>
      </c>
      <c r="D21" s="4" t="s">
        <v>193</v>
      </c>
      <c r="E21" s="4" t="s">
        <v>194</v>
      </c>
      <c r="F21" s="4" t="s">
        <v>195</v>
      </c>
    </row>
    <row r="22" customFormat="false" ht="35.05" hidden="false" customHeight="false" outlineLevel="0" collapsed="false">
      <c r="A22" s="4" t="n">
        <v>21</v>
      </c>
      <c r="B22" s="16" t="s">
        <v>188</v>
      </c>
      <c r="C22" s="5" t="s">
        <v>196</v>
      </c>
      <c r="D22" s="4" t="s">
        <v>197</v>
      </c>
      <c r="E22" s="4" t="s">
        <v>198</v>
      </c>
      <c r="F22" s="4" t="s">
        <v>195</v>
      </c>
    </row>
    <row r="23" customFormat="false" ht="23.85" hidden="false" customHeight="false" outlineLevel="0" collapsed="false">
      <c r="A23" s="4" t="n">
        <v>22</v>
      </c>
      <c r="B23" s="16" t="s">
        <v>188</v>
      </c>
      <c r="C23" s="5" t="s">
        <v>199</v>
      </c>
      <c r="D23" s="4" t="s">
        <v>200</v>
      </c>
      <c r="E23" s="4" t="s">
        <v>201</v>
      </c>
      <c r="F23" s="4" t="s">
        <v>195</v>
      </c>
    </row>
  </sheetData>
  <autoFilter ref="A1:F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9" min="9" style="0" width="8"/>
    <col collapsed="false" customWidth="true" hidden="false" outlineLevel="0" max="10" min="10" style="0" width="18"/>
    <col collapsed="false" customWidth="true" hidden="false" outlineLevel="0" max="11" min="11" style="0" width="80"/>
  </cols>
  <sheetData>
    <row r="1" customFormat="false" ht="23.85" hidden="false" customHeight="false" outlineLevel="0" collapsed="false">
      <c r="A1" s="3" t="s">
        <v>3</v>
      </c>
      <c r="B1" s="3" t="s">
        <v>202</v>
      </c>
      <c r="C1" s="3" t="s">
        <v>203</v>
      </c>
      <c r="D1" s="3" t="s">
        <v>204</v>
      </c>
      <c r="E1" s="3" t="s">
        <v>205</v>
      </c>
      <c r="F1" s="3" t="s">
        <v>206</v>
      </c>
      <c r="G1" s="3" t="s">
        <v>207</v>
      </c>
      <c r="H1" s="3" t="s">
        <v>208</v>
      </c>
      <c r="I1" s="3" t="s">
        <v>5</v>
      </c>
      <c r="J1" s="3" t="s">
        <v>209</v>
      </c>
      <c r="K1" s="3" t="s">
        <v>210</v>
      </c>
    </row>
    <row r="2" customFormat="false" ht="23.85" hidden="false" customHeight="false" outlineLevel="0" collapsed="false">
      <c r="A2" s="17" t="s">
        <v>10</v>
      </c>
      <c r="B2" s="17" t="s">
        <v>211</v>
      </c>
      <c r="C2" s="18" t="s">
        <v>212</v>
      </c>
      <c r="D2" s="18" t="s">
        <v>213</v>
      </c>
      <c r="E2" s="18"/>
      <c r="F2" s="18" t="s">
        <v>214</v>
      </c>
      <c r="G2" s="18"/>
      <c r="H2" s="18" t="s">
        <v>215</v>
      </c>
      <c r="I2" s="19" t="s">
        <v>12</v>
      </c>
      <c r="J2" s="18"/>
      <c r="K2" s="18" t="s">
        <v>216</v>
      </c>
    </row>
    <row r="3" customFormat="false" ht="15" hidden="false" customHeight="false" outlineLevel="0" collapsed="false">
      <c r="A3" s="20" t="s">
        <v>10</v>
      </c>
      <c r="B3" s="21" t="s">
        <v>217</v>
      </c>
      <c r="C3" s="21" t="s">
        <v>218</v>
      </c>
      <c r="D3" s="21"/>
      <c r="E3" s="21"/>
      <c r="F3" s="21" t="s">
        <v>214</v>
      </c>
      <c r="G3" s="21"/>
      <c r="H3" s="21"/>
      <c r="I3" s="22" t="s">
        <v>12</v>
      </c>
      <c r="J3" s="21" t="s">
        <v>219</v>
      </c>
      <c r="K3" s="21"/>
    </row>
    <row r="4" customFormat="false" ht="15" hidden="false" customHeight="false" outlineLevel="0" collapsed="false">
      <c r="A4" s="20" t="s">
        <v>10</v>
      </c>
      <c r="B4" s="21" t="s">
        <v>220</v>
      </c>
      <c r="C4" s="21" t="s">
        <v>221</v>
      </c>
      <c r="D4" s="21"/>
      <c r="E4" s="21"/>
      <c r="F4" s="21" t="s">
        <v>214</v>
      </c>
      <c r="G4" s="21" t="s">
        <v>214</v>
      </c>
      <c r="H4" s="21"/>
      <c r="I4" s="22" t="s">
        <v>12</v>
      </c>
      <c r="J4" s="21" t="s">
        <v>222</v>
      </c>
      <c r="K4" s="21" t="s">
        <v>223</v>
      </c>
    </row>
    <row r="5" customFormat="false" ht="15" hidden="false" customHeight="false" outlineLevel="0" collapsed="false">
      <c r="A5" s="20" t="s">
        <v>10</v>
      </c>
      <c r="B5" s="21" t="s">
        <v>224</v>
      </c>
      <c r="C5" s="21" t="s">
        <v>225</v>
      </c>
      <c r="D5" s="21"/>
      <c r="E5" s="21"/>
      <c r="F5" s="21" t="s">
        <v>226</v>
      </c>
      <c r="G5" s="21"/>
      <c r="H5" s="21"/>
      <c r="I5" s="22" t="s">
        <v>12</v>
      </c>
      <c r="J5" s="21" t="s">
        <v>227</v>
      </c>
      <c r="K5" s="21" t="s">
        <v>228</v>
      </c>
    </row>
    <row r="6" customFormat="false" ht="15" hidden="false" customHeight="false" outlineLevel="0" collapsed="false">
      <c r="A6" s="20" t="s">
        <v>10</v>
      </c>
      <c r="B6" s="21" t="s">
        <v>229</v>
      </c>
      <c r="C6" s="21" t="s">
        <v>230</v>
      </c>
      <c r="D6" s="21"/>
      <c r="E6" s="21"/>
      <c r="F6" s="21" t="s">
        <v>226</v>
      </c>
      <c r="G6" s="21"/>
      <c r="H6" s="21"/>
      <c r="I6" s="22" t="s">
        <v>12</v>
      </c>
      <c r="J6" s="21" t="s">
        <v>231</v>
      </c>
      <c r="K6" s="21"/>
    </row>
    <row r="7" customFormat="false" ht="15" hidden="false" customHeight="false" outlineLevel="0" collapsed="false">
      <c r="A7" s="20" t="s">
        <v>10</v>
      </c>
      <c r="B7" s="21" t="s">
        <v>232</v>
      </c>
      <c r="C7" s="21" t="s">
        <v>233</v>
      </c>
      <c r="D7" s="21"/>
      <c r="E7" s="21"/>
      <c r="F7" s="21" t="s">
        <v>226</v>
      </c>
      <c r="G7" s="21"/>
      <c r="H7" s="21"/>
      <c r="I7" s="23" t="s">
        <v>25</v>
      </c>
      <c r="J7" s="21" t="s">
        <v>234</v>
      </c>
      <c r="K7" s="21" t="s">
        <v>235</v>
      </c>
    </row>
    <row r="8" customFormat="false" ht="23.85" hidden="false" customHeight="false" outlineLevel="0" collapsed="false">
      <c r="A8" s="20" t="s">
        <v>10</v>
      </c>
      <c r="B8" s="21" t="s">
        <v>236</v>
      </c>
      <c r="C8" s="21" t="s">
        <v>221</v>
      </c>
      <c r="D8" s="21"/>
      <c r="E8" s="21"/>
      <c r="F8" s="21" t="s">
        <v>226</v>
      </c>
      <c r="G8" s="21"/>
      <c r="H8" s="21"/>
      <c r="I8" s="23" t="s">
        <v>25</v>
      </c>
      <c r="J8" s="21" t="s">
        <v>237</v>
      </c>
      <c r="K8" s="21" t="s">
        <v>238</v>
      </c>
    </row>
    <row r="9" customFormat="false" ht="15" hidden="false" customHeight="false" outlineLevel="0" collapsed="false">
      <c r="A9" s="20" t="s">
        <v>10</v>
      </c>
      <c r="B9" s="21" t="s">
        <v>239</v>
      </c>
      <c r="C9" s="21" t="s">
        <v>240</v>
      </c>
      <c r="D9" s="21"/>
      <c r="E9" s="21"/>
      <c r="F9" s="21" t="s">
        <v>226</v>
      </c>
      <c r="G9" s="21"/>
      <c r="H9" s="21"/>
      <c r="I9" s="23" t="s">
        <v>25</v>
      </c>
      <c r="J9" s="21" t="s">
        <v>241</v>
      </c>
      <c r="K9" s="21" t="s">
        <v>242</v>
      </c>
    </row>
    <row r="10" customFormat="false" ht="23.85" hidden="false" customHeight="false" outlineLevel="0" collapsed="false">
      <c r="A10" s="20" t="s">
        <v>10</v>
      </c>
      <c r="B10" s="21" t="s">
        <v>243</v>
      </c>
      <c r="C10" s="21" t="s">
        <v>244</v>
      </c>
      <c r="D10" s="21"/>
      <c r="E10" s="21"/>
      <c r="F10" s="21" t="s">
        <v>214</v>
      </c>
      <c r="G10" s="21"/>
      <c r="H10" s="21" t="s">
        <v>245</v>
      </c>
      <c r="I10" s="22" t="s">
        <v>12</v>
      </c>
      <c r="J10" s="21" t="s">
        <v>246</v>
      </c>
      <c r="K10" s="21" t="s">
        <v>247</v>
      </c>
    </row>
    <row r="11" customFormat="false" ht="15" hidden="false" customHeight="false" outlineLevel="0" collapsed="false">
      <c r="A11" s="20" t="s">
        <v>10</v>
      </c>
      <c r="B11" s="21" t="s">
        <v>248</v>
      </c>
      <c r="C11" s="21" t="s">
        <v>244</v>
      </c>
      <c r="D11" s="21"/>
      <c r="E11" s="21"/>
      <c r="F11" s="21" t="s">
        <v>214</v>
      </c>
      <c r="G11" s="21"/>
      <c r="H11" s="21" t="s">
        <v>245</v>
      </c>
      <c r="I11" s="22" t="s">
        <v>12</v>
      </c>
      <c r="J11" s="21"/>
      <c r="K11" s="21"/>
    </row>
    <row r="12" customFormat="false" ht="15" hidden="false" customHeight="false" outlineLevel="0" collapsed="false">
      <c r="A12" s="20" t="s">
        <v>10</v>
      </c>
      <c r="B12" s="21" t="s">
        <v>249</v>
      </c>
      <c r="C12" s="21" t="s">
        <v>244</v>
      </c>
      <c r="D12" s="21"/>
      <c r="E12" s="21"/>
      <c r="F12" s="21" t="s">
        <v>214</v>
      </c>
      <c r="G12" s="21"/>
      <c r="H12" s="21" t="s">
        <v>245</v>
      </c>
      <c r="I12" s="22" t="s">
        <v>12</v>
      </c>
      <c r="J12" s="21"/>
      <c r="K12" s="21"/>
    </row>
    <row r="13" customFormat="false" ht="15" hidden="false" customHeight="false" outlineLevel="0" collapsed="false">
      <c r="A13" s="20" t="s">
        <v>10</v>
      </c>
      <c r="B13" s="21" t="s">
        <v>250</v>
      </c>
      <c r="C13" s="21" t="s">
        <v>244</v>
      </c>
      <c r="D13" s="21"/>
      <c r="E13" s="21"/>
      <c r="F13" s="21" t="s">
        <v>214</v>
      </c>
      <c r="G13" s="21"/>
      <c r="H13" s="21" t="s">
        <v>245</v>
      </c>
      <c r="I13" s="22" t="s">
        <v>12</v>
      </c>
      <c r="J13" s="21" t="s">
        <v>219</v>
      </c>
      <c r="K13" s="21" t="s">
        <v>251</v>
      </c>
    </row>
    <row r="14" customFormat="false" ht="23.85" hidden="false" customHeight="false" outlineLevel="0" collapsed="false">
      <c r="A14" s="20" t="s">
        <v>10</v>
      </c>
      <c r="B14" s="21" t="s">
        <v>252</v>
      </c>
      <c r="C14" s="21" t="s">
        <v>233</v>
      </c>
      <c r="D14" s="21"/>
      <c r="E14" s="21"/>
      <c r="F14" s="21" t="s">
        <v>214</v>
      </c>
      <c r="G14" s="21"/>
      <c r="H14" s="21" t="s">
        <v>253</v>
      </c>
      <c r="I14" s="22" t="s">
        <v>12</v>
      </c>
      <c r="J14" s="21" t="s">
        <v>254</v>
      </c>
      <c r="K14" s="21" t="s">
        <v>255</v>
      </c>
    </row>
    <row r="15" customFormat="false" ht="15" hidden="false" customHeight="false" outlineLevel="0" collapsed="false">
      <c r="A15" s="20" t="s">
        <v>10</v>
      </c>
      <c r="B15" s="21" t="s">
        <v>256</v>
      </c>
      <c r="C15" s="21" t="s">
        <v>257</v>
      </c>
      <c r="D15" s="21"/>
      <c r="E15" s="21"/>
      <c r="F15" s="21" t="s">
        <v>214</v>
      </c>
      <c r="G15" s="21"/>
      <c r="H15" s="21" t="s">
        <v>258</v>
      </c>
      <c r="I15" s="22" t="s">
        <v>12</v>
      </c>
      <c r="J15" s="21" t="s">
        <v>259</v>
      </c>
      <c r="K15" s="21" t="s">
        <v>260</v>
      </c>
    </row>
    <row r="16" customFormat="false" ht="15" hidden="false" customHeight="false" outlineLevel="0" collapsed="false">
      <c r="A16" s="20" t="s">
        <v>10</v>
      </c>
      <c r="B16" s="21" t="s">
        <v>261</v>
      </c>
      <c r="C16" s="21" t="s">
        <v>262</v>
      </c>
      <c r="D16" s="21"/>
      <c r="E16" s="21"/>
      <c r="F16" s="21" t="s">
        <v>226</v>
      </c>
      <c r="G16" s="21"/>
      <c r="H16" s="21"/>
      <c r="I16" s="22" t="s">
        <v>12</v>
      </c>
      <c r="J16" s="21" t="s">
        <v>259</v>
      </c>
      <c r="K16" s="21" t="s">
        <v>263</v>
      </c>
    </row>
    <row r="17" customFormat="false" ht="15" hidden="false" customHeight="false" outlineLevel="0" collapsed="false">
      <c r="A17" s="20" t="s">
        <v>10</v>
      </c>
      <c r="B17" s="21" t="s">
        <v>264</v>
      </c>
      <c r="C17" s="21" t="s">
        <v>244</v>
      </c>
      <c r="D17" s="21"/>
      <c r="E17" s="21"/>
      <c r="F17" s="21" t="s">
        <v>214</v>
      </c>
      <c r="G17" s="21"/>
      <c r="H17" s="21" t="s">
        <v>245</v>
      </c>
      <c r="I17" s="22" t="s">
        <v>12</v>
      </c>
      <c r="J17" s="21" t="s">
        <v>265</v>
      </c>
      <c r="K17" s="21" t="s">
        <v>266</v>
      </c>
    </row>
    <row r="18" customFormat="false" ht="15" hidden="false" customHeight="false" outlineLevel="0" collapsed="false">
      <c r="A18" s="20" t="s">
        <v>10</v>
      </c>
      <c r="B18" s="21" t="s">
        <v>267</v>
      </c>
      <c r="C18" s="21" t="s">
        <v>262</v>
      </c>
      <c r="D18" s="21"/>
      <c r="E18" s="21"/>
      <c r="F18" s="21" t="s">
        <v>214</v>
      </c>
      <c r="G18" s="21"/>
      <c r="H18" s="21"/>
      <c r="I18" s="22" t="s">
        <v>12</v>
      </c>
      <c r="J18" s="21" t="s">
        <v>265</v>
      </c>
      <c r="K18" s="21" t="s">
        <v>268</v>
      </c>
    </row>
    <row r="19" customFormat="false" ht="15" hidden="false" customHeight="false" outlineLevel="0" collapsed="false">
      <c r="A19" s="20" t="s">
        <v>10</v>
      </c>
      <c r="B19" s="21" t="s">
        <v>269</v>
      </c>
      <c r="C19" s="21" t="s">
        <v>262</v>
      </c>
      <c r="D19" s="21"/>
      <c r="E19" s="21"/>
      <c r="F19" s="21" t="s">
        <v>214</v>
      </c>
      <c r="G19" s="21"/>
      <c r="H19" s="21" t="s">
        <v>270</v>
      </c>
      <c r="I19" s="22" t="s">
        <v>12</v>
      </c>
      <c r="J19" s="21" t="s">
        <v>265</v>
      </c>
      <c r="K19" s="21"/>
    </row>
    <row r="20" customFormat="false" ht="15" hidden="false" customHeight="false" outlineLevel="0" collapsed="false">
      <c r="A20" s="20" t="s">
        <v>10</v>
      </c>
      <c r="B20" s="21" t="s">
        <v>271</v>
      </c>
      <c r="C20" s="21" t="s">
        <v>262</v>
      </c>
      <c r="D20" s="21"/>
      <c r="E20" s="21"/>
      <c r="F20" s="21" t="s">
        <v>226</v>
      </c>
      <c r="G20" s="21"/>
      <c r="H20" s="21"/>
      <c r="I20" s="23" t="s">
        <v>25</v>
      </c>
      <c r="J20" s="21" t="s">
        <v>272</v>
      </c>
      <c r="K20" s="21" t="s">
        <v>273</v>
      </c>
    </row>
    <row r="21" customFormat="false" ht="23.85" hidden="false" customHeight="false" outlineLevel="0" collapsed="false">
      <c r="A21" s="17" t="s">
        <v>15</v>
      </c>
      <c r="B21" s="17" t="s">
        <v>211</v>
      </c>
      <c r="C21" s="18" t="s">
        <v>212</v>
      </c>
      <c r="D21" s="18" t="s">
        <v>213</v>
      </c>
      <c r="E21" s="18"/>
      <c r="F21" s="18" t="s">
        <v>214</v>
      </c>
      <c r="G21" s="18"/>
      <c r="H21" s="18" t="s">
        <v>215</v>
      </c>
      <c r="I21" s="19" t="s">
        <v>12</v>
      </c>
      <c r="J21" s="18"/>
      <c r="K21" s="18" t="s">
        <v>216</v>
      </c>
    </row>
    <row r="22" customFormat="false" ht="15" hidden="false" customHeight="false" outlineLevel="0" collapsed="false">
      <c r="A22" s="20" t="s">
        <v>15</v>
      </c>
      <c r="B22" s="21" t="s">
        <v>274</v>
      </c>
      <c r="C22" s="21" t="s">
        <v>212</v>
      </c>
      <c r="D22" s="21" t="s">
        <v>275</v>
      </c>
      <c r="E22" s="21" t="s">
        <v>10</v>
      </c>
      <c r="F22" s="21" t="s">
        <v>214</v>
      </c>
      <c r="G22" s="21"/>
      <c r="H22" s="21"/>
      <c r="I22" s="22" t="s">
        <v>12</v>
      </c>
      <c r="J22" s="21"/>
      <c r="K22" s="21"/>
    </row>
    <row r="23" customFormat="false" ht="15" hidden="false" customHeight="false" outlineLevel="0" collapsed="false">
      <c r="A23" s="20" t="s">
        <v>15</v>
      </c>
      <c r="B23" s="21" t="s">
        <v>276</v>
      </c>
      <c r="C23" s="21" t="s">
        <v>233</v>
      </c>
      <c r="D23" s="21"/>
      <c r="E23" s="21"/>
      <c r="F23" s="21" t="s">
        <v>214</v>
      </c>
      <c r="G23" s="21"/>
      <c r="H23" s="21"/>
      <c r="I23" s="22" t="s">
        <v>12</v>
      </c>
      <c r="J23" s="21"/>
      <c r="K23" s="21" t="s">
        <v>277</v>
      </c>
    </row>
    <row r="24" customFormat="false" ht="15" hidden="false" customHeight="false" outlineLevel="0" collapsed="false">
      <c r="A24" s="20" t="s">
        <v>15</v>
      </c>
      <c r="B24" s="21" t="s">
        <v>278</v>
      </c>
      <c r="C24" s="21" t="s">
        <v>225</v>
      </c>
      <c r="D24" s="21"/>
      <c r="E24" s="21"/>
      <c r="F24" s="21" t="s">
        <v>214</v>
      </c>
      <c r="G24" s="21"/>
      <c r="H24" s="21"/>
      <c r="I24" s="22" t="s">
        <v>12</v>
      </c>
      <c r="J24" s="21"/>
      <c r="K24" s="21" t="s">
        <v>279</v>
      </c>
    </row>
    <row r="25" customFormat="false" ht="15" hidden="false" customHeight="false" outlineLevel="0" collapsed="false">
      <c r="A25" s="20" t="s">
        <v>15</v>
      </c>
      <c r="B25" s="21" t="s">
        <v>280</v>
      </c>
      <c r="C25" s="21" t="s">
        <v>262</v>
      </c>
      <c r="D25" s="21"/>
      <c r="E25" s="21"/>
      <c r="F25" s="21" t="s">
        <v>214</v>
      </c>
      <c r="G25" s="21"/>
      <c r="H25" s="21"/>
      <c r="I25" s="22" t="s">
        <v>12</v>
      </c>
      <c r="J25" s="21"/>
      <c r="K25" s="21" t="s">
        <v>281</v>
      </c>
    </row>
    <row r="26" customFormat="false" ht="15" hidden="false" customHeight="false" outlineLevel="0" collapsed="false">
      <c r="A26" s="20" t="s">
        <v>15</v>
      </c>
      <c r="B26" s="21" t="s">
        <v>282</v>
      </c>
      <c r="C26" s="21" t="s">
        <v>244</v>
      </c>
      <c r="D26" s="21"/>
      <c r="E26" s="21"/>
      <c r="F26" s="21" t="s">
        <v>214</v>
      </c>
      <c r="G26" s="21"/>
      <c r="H26" s="21" t="s">
        <v>245</v>
      </c>
      <c r="I26" s="22" t="s">
        <v>12</v>
      </c>
      <c r="J26" s="21"/>
      <c r="K26" s="21"/>
    </row>
    <row r="27" customFormat="false" ht="23.85" hidden="false" customHeight="false" outlineLevel="0" collapsed="false">
      <c r="A27" s="17" t="s">
        <v>18</v>
      </c>
      <c r="B27" s="17" t="s">
        <v>211</v>
      </c>
      <c r="C27" s="18" t="s">
        <v>212</v>
      </c>
      <c r="D27" s="18" t="s">
        <v>213</v>
      </c>
      <c r="E27" s="18"/>
      <c r="F27" s="18" t="s">
        <v>214</v>
      </c>
      <c r="G27" s="18"/>
      <c r="H27" s="18" t="s">
        <v>215</v>
      </c>
      <c r="I27" s="19" t="s">
        <v>12</v>
      </c>
      <c r="J27" s="18"/>
      <c r="K27" s="18" t="s">
        <v>216</v>
      </c>
    </row>
    <row r="28" customFormat="false" ht="15" hidden="false" customHeight="false" outlineLevel="0" collapsed="false">
      <c r="A28" s="20" t="s">
        <v>18</v>
      </c>
      <c r="B28" s="21" t="s">
        <v>274</v>
      </c>
      <c r="C28" s="21" t="s">
        <v>212</v>
      </c>
      <c r="D28" s="21" t="s">
        <v>275</v>
      </c>
      <c r="E28" s="21" t="s">
        <v>10</v>
      </c>
      <c r="F28" s="21" t="s">
        <v>214</v>
      </c>
      <c r="G28" s="21"/>
      <c r="H28" s="21"/>
      <c r="I28" s="22" t="s">
        <v>12</v>
      </c>
      <c r="J28" s="21"/>
      <c r="K28" s="21"/>
    </row>
    <row r="29" customFormat="false" ht="15" hidden="false" customHeight="false" outlineLevel="0" collapsed="false">
      <c r="A29" s="20" t="s">
        <v>18</v>
      </c>
      <c r="B29" s="21" t="s">
        <v>283</v>
      </c>
      <c r="C29" s="21" t="s">
        <v>225</v>
      </c>
      <c r="D29" s="21"/>
      <c r="E29" s="21"/>
      <c r="F29" s="21" t="s">
        <v>214</v>
      </c>
      <c r="G29" s="21"/>
      <c r="H29" s="21"/>
      <c r="I29" s="22" t="s">
        <v>12</v>
      </c>
      <c r="J29" s="21"/>
      <c r="K29" s="21"/>
    </row>
    <row r="30" customFormat="false" ht="15" hidden="false" customHeight="false" outlineLevel="0" collapsed="false">
      <c r="A30" s="20" t="s">
        <v>18</v>
      </c>
      <c r="B30" s="21" t="s">
        <v>280</v>
      </c>
      <c r="C30" s="21" t="s">
        <v>262</v>
      </c>
      <c r="D30" s="21"/>
      <c r="E30" s="21"/>
      <c r="F30" s="21" t="s">
        <v>214</v>
      </c>
      <c r="G30" s="21"/>
      <c r="H30" s="21"/>
      <c r="I30" s="22" t="s">
        <v>12</v>
      </c>
      <c r="J30" s="21"/>
      <c r="K30" s="21"/>
    </row>
    <row r="31" customFormat="false" ht="15" hidden="false" customHeight="false" outlineLevel="0" collapsed="false">
      <c r="A31" s="20" t="s">
        <v>18</v>
      </c>
      <c r="B31" s="21" t="s">
        <v>284</v>
      </c>
      <c r="C31" s="21" t="s">
        <v>244</v>
      </c>
      <c r="D31" s="21"/>
      <c r="E31" s="21"/>
      <c r="F31" s="21" t="s">
        <v>214</v>
      </c>
      <c r="G31" s="21"/>
      <c r="H31" s="21" t="s">
        <v>245</v>
      </c>
      <c r="I31" s="22" t="s">
        <v>12</v>
      </c>
      <c r="J31" s="21" t="s">
        <v>285</v>
      </c>
      <c r="K31" s="21" t="s">
        <v>286</v>
      </c>
    </row>
    <row r="32" customFormat="false" ht="15" hidden="false" customHeight="false" outlineLevel="0" collapsed="false">
      <c r="A32" s="20" t="s">
        <v>18</v>
      </c>
      <c r="B32" s="21" t="s">
        <v>287</v>
      </c>
      <c r="C32" s="21" t="s">
        <v>262</v>
      </c>
      <c r="D32" s="21"/>
      <c r="E32" s="21"/>
      <c r="F32" s="21" t="s">
        <v>214</v>
      </c>
      <c r="G32" s="21"/>
      <c r="H32" s="21" t="s">
        <v>270</v>
      </c>
      <c r="I32" s="22" t="s">
        <v>12</v>
      </c>
      <c r="J32" s="21"/>
      <c r="K32" s="21"/>
    </row>
    <row r="33" customFormat="false" ht="23.85" hidden="false" customHeight="false" outlineLevel="0" collapsed="false">
      <c r="A33" s="17" t="s">
        <v>21</v>
      </c>
      <c r="B33" s="17" t="s">
        <v>211</v>
      </c>
      <c r="C33" s="18" t="s">
        <v>212</v>
      </c>
      <c r="D33" s="18" t="s">
        <v>213</v>
      </c>
      <c r="E33" s="18"/>
      <c r="F33" s="18" t="s">
        <v>214</v>
      </c>
      <c r="G33" s="18"/>
      <c r="H33" s="18" t="s">
        <v>215</v>
      </c>
      <c r="I33" s="19" t="s">
        <v>12</v>
      </c>
      <c r="J33" s="18"/>
      <c r="K33" s="18" t="s">
        <v>216</v>
      </c>
    </row>
    <row r="34" customFormat="false" ht="15" hidden="false" customHeight="false" outlineLevel="0" collapsed="false">
      <c r="A34" s="20" t="s">
        <v>21</v>
      </c>
      <c r="B34" s="21" t="s">
        <v>274</v>
      </c>
      <c r="C34" s="21" t="s">
        <v>212</v>
      </c>
      <c r="D34" s="21" t="s">
        <v>275</v>
      </c>
      <c r="E34" s="21" t="s">
        <v>10</v>
      </c>
      <c r="F34" s="21" t="s">
        <v>214</v>
      </c>
      <c r="G34" s="21"/>
      <c r="H34" s="21"/>
      <c r="I34" s="22" t="s">
        <v>12</v>
      </c>
      <c r="J34" s="21"/>
      <c r="K34" s="21"/>
    </row>
    <row r="35" customFormat="false" ht="15" hidden="false" customHeight="false" outlineLevel="0" collapsed="false">
      <c r="A35" s="20" t="s">
        <v>21</v>
      </c>
      <c r="B35" s="21" t="s">
        <v>288</v>
      </c>
      <c r="C35" s="21" t="s">
        <v>225</v>
      </c>
      <c r="D35" s="21"/>
      <c r="E35" s="21"/>
      <c r="F35" s="21" t="s">
        <v>214</v>
      </c>
      <c r="G35" s="21" t="s">
        <v>214</v>
      </c>
      <c r="H35" s="21"/>
      <c r="I35" s="22" t="s">
        <v>12</v>
      </c>
      <c r="J35" s="21"/>
      <c r="K35" s="21" t="s">
        <v>289</v>
      </c>
    </row>
    <row r="36" customFormat="false" ht="15" hidden="false" customHeight="false" outlineLevel="0" collapsed="false">
      <c r="A36" s="20" t="s">
        <v>21</v>
      </c>
      <c r="B36" s="21" t="s">
        <v>290</v>
      </c>
      <c r="C36" s="21" t="s">
        <v>291</v>
      </c>
      <c r="D36" s="21"/>
      <c r="E36" s="21"/>
      <c r="F36" s="21" t="s">
        <v>214</v>
      </c>
      <c r="G36" s="21"/>
      <c r="H36" s="21"/>
      <c r="I36" s="22" t="s">
        <v>12</v>
      </c>
      <c r="J36" s="21"/>
      <c r="K36" s="21" t="s">
        <v>292</v>
      </c>
    </row>
    <row r="37" customFormat="false" ht="15" hidden="false" customHeight="false" outlineLevel="0" collapsed="false">
      <c r="A37" s="20" t="s">
        <v>21</v>
      </c>
      <c r="B37" s="21" t="s">
        <v>293</v>
      </c>
      <c r="C37" s="21" t="s">
        <v>244</v>
      </c>
      <c r="D37" s="21"/>
      <c r="E37" s="21"/>
      <c r="F37" s="21" t="s">
        <v>214</v>
      </c>
      <c r="G37" s="21"/>
      <c r="H37" s="21" t="s">
        <v>294</v>
      </c>
      <c r="I37" s="22" t="s">
        <v>12</v>
      </c>
      <c r="J37" s="21"/>
      <c r="K37" s="21" t="s">
        <v>295</v>
      </c>
    </row>
    <row r="38" customFormat="false" ht="15" hidden="false" customHeight="false" outlineLevel="0" collapsed="false">
      <c r="A38" s="20" t="s">
        <v>21</v>
      </c>
      <c r="B38" s="21" t="s">
        <v>269</v>
      </c>
      <c r="C38" s="21" t="s">
        <v>262</v>
      </c>
      <c r="D38" s="21"/>
      <c r="E38" s="21"/>
      <c r="F38" s="21" t="s">
        <v>214</v>
      </c>
      <c r="G38" s="21"/>
      <c r="H38" s="21" t="s">
        <v>270</v>
      </c>
      <c r="I38" s="22" t="s">
        <v>12</v>
      </c>
      <c r="J38" s="21"/>
      <c r="K38" s="21"/>
    </row>
    <row r="39" customFormat="false" ht="23.85" hidden="false" customHeight="false" outlineLevel="0" collapsed="false">
      <c r="A39" s="17" t="s">
        <v>24</v>
      </c>
      <c r="B39" s="17" t="s">
        <v>211</v>
      </c>
      <c r="C39" s="18" t="s">
        <v>212</v>
      </c>
      <c r="D39" s="18" t="s">
        <v>213</v>
      </c>
      <c r="E39" s="18"/>
      <c r="F39" s="18" t="s">
        <v>214</v>
      </c>
      <c r="G39" s="18"/>
      <c r="H39" s="18" t="s">
        <v>215</v>
      </c>
      <c r="I39" s="24" t="s">
        <v>25</v>
      </c>
      <c r="J39" s="18"/>
      <c r="K39" s="18" t="s">
        <v>216</v>
      </c>
    </row>
    <row r="40" customFormat="false" ht="15" hidden="false" customHeight="false" outlineLevel="0" collapsed="false">
      <c r="A40" s="20" t="s">
        <v>24</v>
      </c>
      <c r="B40" s="21" t="s">
        <v>274</v>
      </c>
      <c r="C40" s="21" t="s">
        <v>212</v>
      </c>
      <c r="D40" s="21" t="s">
        <v>275</v>
      </c>
      <c r="E40" s="21" t="s">
        <v>10</v>
      </c>
      <c r="F40" s="21" t="s">
        <v>214</v>
      </c>
      <c r="G40" s="21"/>
      <c r="H40" s="21"/>
      <c r="I40" s="23" t="s">
        <v>25</v>
      </c>
      <c r="J40" s="21"/>
      <c r="K40" s="21"/>
    </row>
    <row r="41" customFormat="false" ht="15" hidden="false" customHeight="false" outlineLevel="0" collapsed="false">
      <c r="A41" s="20" t="s">
        <v>24</v>
      </c>
      <c r="B41" s="21" t="s">
        <v>296</v>
      </c>
      <c r="C41" s="21" t="s">
        <v>233</v>
      </c>
      <c r="D41" s="21"/>
      <c r="E41" s="21"/>
      <c r="F41" s="21" t="s">
        <v>214</v>
      </c>
      <c r="G41" s="21"/>
      <c r="H41" s="21"/>
      <c r="I41" s="23" t="s">
        <v>25</v>
      </c>
      <c r="J41" s="21"/>
      <c r="K41" s="21" t="s">
        <v>297</v>
      </c>
    </row>
    <row r="42" customFormat="false" ht="15" hidden="false" customHeight="false" outlineLevel="0" collapsed="false">
      <c r="A42" s="20" t="s">
        <v>24</v>
      </c>
      <c r="B42" s="21" t="s">
        <v>298</v>
      </c>
      <c r="C42" s="21" t="s">
        <v>218</v>
      </c>
      <c r="D42" s="21"/>
      <c r="E42" s="21"/>
      <c r="F42" s="21" t="s">
        <v>214</v>
      </c>
      <c r="G42" s="21" t="s">
        <v>299</v>
      </c>
      <c r="H42" s="21"/>
      <c r="I42" s="23" t="s">
        <v>25</v>
      </c>
      <c r="J42" s="21"/>
      <c r="K42" s="21" t="s">
        <v>300</v>
      </c>
    </row>
    <row r="43" customFormat="false" ht="23.85" hidden="false" customHeight="false" outlineLevel="0" collapsed="false">
      <c r="A43" s="17" t="s">
        <v>28</v>
      </c>
      <c r="B43" s="17" t="s">
        <v>211</v>
      </c>
      <c r="C43" s="18" t="s">
        <v>212</v>
      </c>
      <c r="D43" s="18" t="s">
        <v>213</v>
      </c>
      <c r="E43" s="18"/>
      <c r="F43" s="18" t="s">
        <v>214</v>
      </c>
      <c r="G43" s="18"/>
      <c r="H43" s="18" t="s">
        <v>215</v>
      </c>
      <c r="I43" s="19" t="s">
        <v>12</v>
      </c>
      <c r="J43" s="18"/>
      <c r="K43" s="18" t="s">
        <v>216</v>
      </c>
    </row>
    <row r="44" customFormat="false" ht="15" hidden="false" customHeight="false" outlineLevel="0" collapsed="false">
      <c r="A44" s="20" t="s">
        <v>28</v>
      </c>
      <c r="B44" s="21" t="s">
        <v>274</v>
      </c>
      <c r="C44" s="21" t="s">
        <v>212</v>
      </c>
      <c r="D44" s="21" t="s">
        <v>275</v>
      </c>
      <c r="E44" s="21" t="s">
        <v>10</v>
      </c>
      <c r="F44" s="21" t="s">
        <v>214</v>
      </c>
      <c r="G44" s="21"/>
      <c r="H44" s="21"/>
      <c r="I44" s="22" t="s">
        <v>12</v>
      </c>
      <c r="J44" s="21"/>
      <c r="K44" s="21"/>
    </row>
    <row r="45" customFormat="false" ht="15" hidden="false" customHeight="false" outlineLevel="0" collapsed="false">
      <c r="A45" s="20" t="s">
        <v>28</v>
      </c>
      <c r="B45" s="21" t="s">
        <v>301</v>
      </c>
      <c r="C45" s="21" t="s">
        <v>291</v>
      </c>
      <c r="D45" s="21"/>
      <c r="E45" s="21"/>
      <c r="F45" s="21" t="s">
        <v>214</v>
      </c>
      <c r="G45" s="21" t="s">
        <v>302</v>
      </c>
      <c r="H45" s="21"/>
      <c r="I45" s="22" t="s">
        <v>12</v>
      </c>
      <c r="J45" s="21" t="s">
        <v>303</v>
      </c>
      <c r="K45" s="21" t="s">
        <v>304</v>
      </c>
    </row>
    <row r="46" customFormat="false" ht="15" hidden="false" customHeight="false" outlineLevel="0" collapsed="false">
      <c r="A46" s="20" t="s">
        <v>28</v>
      </c>
      <c r="B46" s="21" t="s">
        <v>305</v>
      </c>
      <c r="C46" s="21" t="s">
        <v>306</v>
      </c>
      <c r="D46" s="21"/>
      <c r="E46" s="21"/>
      <c r="F46" s="21" t="s">
        <v>214</v>
      </c>
      <c r="G46" s="21"/>
      <c r="H46" s="21"/>
      <c r="I46" s="22" t="s">
        <v>12</v>
      </c>
      <c r="J46" s="21"/>
      <c r="K46" s="21"/>
    </row>
    <row r="47" customFormat="false" ht="15" hidden="false" customHeight="false" outlineLevel="0" collapsed="false">
      <c r="A47" s="20" t="s">
        <v>28</v>
      </c>
      <c r="B47" s="21" t="s">
        <v>307</v>
      </c>
      <c r="C47" s="21" t="s">
        <v>306</v>
      </c>
      <c r="D47" s="21"/>
      <c r="E47" s="21"/>
      <c r="F47" s="21" t="s">
        <v>214</v>
      </c>
      <c r="G47" s="21"/>
      <c r="H47" s="21"/>
      <c r="I47" s="22" t="s">
        <v>12</v>
      </c>
      <c r="J47" s="21"/>
      <c r="K47" s="21"/>
    </row>
    <row r="48" customFormat="false" ht="15" hidden="false" customHeight="false" outlineLevel="0" collapsed="false">
      <c r="A48" s="20" t="s">
        <v>28</v>
      </c>
      <c r="B48" s="21" t="s">
        <v>308</v>
      </c>
      <c r="C48" s="21" t="s">
        <v>309</v>
      </c>
      <c r="D48" s="21"/>
      <c r="E48" s="21"/>
      <c r="F48" s="21" t="s">
        <v>214</v>
      </c>
      <c r="G48" s="21"/>
      <c r="H48" s="21"/>
      <c r="I48" s="22" t="s">
        <v>12</v>
      </c>
      <c r="J48" s="21" t="s">
        <v>303</v>
      </c>
      <c r="K48" s="21" t="s">
        <v>310</v>
      </c>
    </row>
    <row r="49" customFormat="false" ht="15" hidden="false" customHeight="false" outlineLevel="0" collapsed="false">
      <c r="A49" s="20" t="s">
        <v>28</v>
      </c>
      <c r="B49" s="21" t="s">
        <v>239</v>
      </c>
      <c r="C49" s="21" t="s">
        <v>240</v>
      </c>
      <c r="D49" s="21"/>
      <c r="E49" s="21"/>
      <c r="F49" s="21" t="s">
        <v>226</v>
      </c>
      <c r="G49" s="21"/>
      <c r="H49" s="21"/>
      <c r="I49" s="23" t="s">
        <v>25</v>
      </c>
      <c r="J49" s="21" t="s">
        <v>311</v>
      </c>
      <c r="K49" s="21" t="s">
        <v>312</v>
      </c>
    </row>
    <row r="50" customFormat="false" ht="23.85" hidden="false" customHeight="false" outlineLevel="0" collapsed="false">
      <c r="A50" s="20" t="s">
        <v>28</v>
      </c>
      <c r="B50" s="21" t="s">
        <v>313</v>
      </c>
      <c r="C50" s="21" t="s">
        <v>309</v>
      </c>
      <c r="D50" s="21"/>
      <c r="E50" s="21"/>
      <c r="F50" s="21" t="s">
        <v>214</v>
      </c>
      <c r="G50" s="21"/>
      <c r="H50" s="21"/>
      <c r="I50" s="22" t="s">
        <v>12</v>
      </c>
      <c r="J50" s="21" t="s">
        <v>303</v>
      </c>
      <c r="K50" s="21" t="s">
        <v>314</v>
      </c>
    </row>
    <row r="51" customFormat="false" ht="15" hidden="false" customHeight="false" outlineLevel="0" collapsed="false">
      <c r="A51" s="20" t="s">
        <v>28</v>
      </c>
      <c r="B51" s="21" t="s">
        <v>293</v>
      </c>
      <c r="C51" s="21" t="s">
        <v>244</v>
      </c>
      <c r="D51" s="21"/>
      <c r="E51" s="21"/>
      <c r="F51" s="21" t="s">
        <v>214</v>
      </c>
      <c r="G51" s="21"/>
      <c r="H51" s="21" t="s">
        <v>294</v>
      </c>
      <c r="I51" s="23" t="s">
        <v>25</v>
      </c>
      <c r="J51" s="21" t="s">
        <v>315</v>
      </c>
      <c r="K51" s="21" t="s">
        <v>316</v>
      </c>
    </row>
    <row r="52" customFormat="false" ht="23.85" hidden="false" customHeight="false" outlineLevel="0" collapsed="false">
      <c r="A52" s="17" t="s">
        <v>31</v>
      </c>
      <c r="B52" s="17" t="s">
        <v>211</v>
      </c>
      <c r="C52" s="18" t="s">
        <v>212</v>
      </c>
      <c r="D52" s="18" t="s">
        <v>213</v>
      </c>
      <c r="E52" s="18"/>
      <c r="F52" s="18" t="s">
        <v>214</v>
      </c>
      <c r="G52" s="18"/>
      <c r="H52" s="18" t="s">
        <v>215</v>
      </c>
      <c r="I52" s="24" t="s">
        <v>25</v>
      </c>
      <c r="J52" s="18"/>
      <c r="K52" s="18" t="s">
        <v>216</v>
      </c>
    </row>
    <row r="53" customFormat="false" ht="15" hidden="false" customHeight="false" outlineLevel="0" collapsed="false">
      <c r="A53" s="20" t="s">
        <v>31</v>
      </c>
      <c r="B53" s="21" t="s">
        <v>274</v>
      </c>
      <c r="C53" s="21" t="s">
        <v>212</v>
      </c>
      <c r="D53" s="21" t="s">
        <v>275</v>
      </c>
      <c r="E53" s="21" t="s">
        <v>10</v>
      </c>
      <c r="F53" s="21" t="s">
        <v>214</v>
      </c>
      <c r="G53" s="21"/>
      <c r="H53" s="21"/>
      <c r="I53" s="23" t="s">
        <v>25</v>
      </c>
      <c r="J53" s="21"/>
      <c r="K53" s="21"/>
    </row>
    <row r="54" customFormat="false" ht="15" hidden="false" customHeight="false" outlineLevel="0" collapsed="false">
      <c r="A54" s="20" t="s">
        <v>31</v>
      </c>
      <c r="B54" s="21" t="s">
        <v>317</v>
      </c>
      <c r="C54" s="21" t="s">
        <v>291</v>
      </c>
      <c r="D54" s="21"/>
      <c r="E54" s="21"/>
      <c r="F54" s="21" t="s">
        <v>214</v>
      </c>
      <c r="G54" s="21"/>
      <c r="H54" s="21"/>
      <c r="I54" s="23" t="s">
        <v>25</v>
      </c>
      <c r="J54" s="21"/>
      <c r="K54" s="21"/>
    </row>
    <row r="55" customFormat="false" ht="15" hidden="false" customHeight="false" outlineLevel="0" collapsed="false">
      <c r="A55" s="20" t="s">
        <v>31</v>
      </c>
      <c r="B55" s="21" t="s">
        <v>318</v>
      </c>
      <c r="C55" s="21" t="s">
        <v>233</v>
      </c>
      <c r="D55" s="21"/>
      <c r="E55" s="21"/>
      <c r="F55" s="21" t="s">
        <v>214</v>
      </c>
      <c r="G55" s="21"/>
      <c r="H55" s="21"/>
      <c r="I55" s="23" t="s">
        <v>25</v>
      </c>
      <c r="J55" s="21"/>
      <c r="K55" s="21" t="s">
        <v>319</v>
      </c>
    </row>
    <row r="56" customFormat="false" ht="15" hidden="false" customHeight="false" outlineLevel="0" collapsed="false">
      <c r="A56" s="20" t="s">
        <v>31</v>
      </c>
      <c r="B56" s="21" t="s">
        <v>320</v>
      </c>
      <c r="C56" s="21" t="s">
        <v>240</v>
      </c>
      <c r="D56" s="21"/>
      <c r="E56" s="21"/>
      <c r="F56" s="21" t="s">
        <v>214</v>
      </c>
      <c r="G56" s="21"/>
      <c r="H56" s="21"/>
      <c r="I56" s="23" t="s">
        <v>25</v>
      </c>
      <c r="J56" s="21"/>
      <c r="K56" s="21" t="s">
        <v>321</v>
      </c>
    </row>
    <row r="57" customFormat="false" ht="15" hidden="false" customHeight="false" outlineLevel="0" collapsed="false">
      <c r="A57" s="20" t="s">
        <v>31</v>
      </c>
      <c r="B57" s="21" t="s">
        <v>322</v>
      </c>
      <c r="C57" s="21" t="s">
        <v>240</v>
      </c>
      <c r="D57" s="21"/>
      <c r="E57" s="21"/>
      <c r="F57" s="21" t="s">
        <v>214</v>
      </c>
      <c r="G57" s="21"/>
      <c r="H57" s="21"/>
      <c r="I57" s="23" t="s">
        <v>25</v>
      </c>
      <c r="J57" s="21" t="s">
        <v>32</v>
      </c>
      <c r="K57" s="21"/>
    </row>
    <row r="58" customFormat="false" ht="15" hidden="false" customHeight="false" outlineLevel="0" collapsed="false">
      <c r="A58" s="20" t="s">
        <v>31</v>
      </c>
      <c r="B58" s="21" t="s">
        <v>323</v>
      </c>
      <c r="C58" s="21" t="s">
        <v>218</v>
      </c>
      <c r="D58" s="21"/>
      <c r="E58" s="21"/>
      <c r="F58" s="21" t="s">
        <v>226</v>
      </c>
      <c r="G58" s="21"/>
      <c r="H58" s="21"/>
      <c r="I58" s="23" t="s">
        <v>25</v>
      </c>
      <c r="J58" s="21"/>
      <c r="K58" s="21" t="s">
        <v>324</v>
      </c>
    </row>
    <row r="59" customFormat="false" ht="15" hidden="false" customHeight="false" outlineLevel="0" collapsed="false">
      <c r="A59" s="20" t="s">
        <v>31</v>
      </c>
      <c r="B59" s="21" t="s">
        <v>325</v>
      </c>
      <c r="C59" s="21" t="s">
        <v>233</v>
      </c>
      <c r="D59" s="21"/>
      <c r="E59" s="21"/>
      <c r="F59" s="21" t="s">
        <v>214</v>
      </c>
      <c r="G59" s="21"/>
      <c r="H59" s="21" t="s">
        <v>326</v>
      </c>
      <c r="I59" s="23" t="s">
        <v>25</v>
      </c>
      <c r="J59" s="21"/>
      <c r="K59" s="21" t="s">
        <v>327</v>
      </c>
    </row>
    <row r="60" customFormat="false" ht="15" hidden="false" customHeight="false" outlineLevel="0" collapsed="false">
      <c r="A60" s="20" t="s">
        <v>31</v>
      </c>
      <c r="B60" s="21" t="s">
        <v>328</v>
      </c>
      <c r="C60" s="21" t="s">
        <v>262</v>
      </c>
      <c r="D60" s="21"/>
      <c r="E60" s="21"/>
      <c r="F60" s="21" t="s">
        <v>214</v>
      </c>
      <c r="G60" s="21"/>
      <c r="H60" s="21" t="s">
        <v>270</v>
      </c>
      <c r="I60" s="23" t="s">
        <v>25</v>
      </c>
      <c r="J60" s="21"/>
      <c r="K60" s="21"/>
    </row>
    <row r="61" customFormat="false" ht="15" hidden="false" customHeight="false" outlineLevel="0" collapsed="false">
      <c r="A61" s="20" t="s">
        <v>31</v>
      </c>
      <c r="B61" s="21" t="s">
        <v>329</v>
      </c>
      <c r="C61" s="21" t="s">
        <v>262</v>
      </c>
      <c r="D61" s="21"/>
      <c r="E61" s="21"/>
      <c r="F61" s="21" t="s">
        <v>226</v>
      </c>
      <c r="G61" s="21"/>
      <c r="H61" s="21"/>
      <c r="I61" s="23" t="s">
        <v>25</v>
      </c>
      <c r="J61" s="21"/>
      <c r="K61" s="21"/>
    </row>
  </sheetData>
  <autoFilter ref="A1:K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9" min="9" style="0" width="8"/>
    <col collapsed="false" customWidth="true" hidden="false" outlineLevel="0" max="10" min="10" style="0" width="18"/>
    <col collapsed="false" customWidth="true" hidden="false" outlineLevel="0" max="11" min="11" style="0" width="80"/>
  </cols>
  <sheetData>
    <row r="1" customFormat="false" ht="23.85" hidden="false" customHeight="false" outlineLevel="0" collapsed="false">
      <c r="A1" s="3" t="s">
        <v>3</v>
      </c>
      <c r="B1" s="3" t="s">
        <v>202</v>
      </c>
      <c r="C1" s="3" t="s">
        <v>203</v>
      </c>
      <c r="D1" s="3" t="s">
        <v>204</v>
      </c>
      <c r="E1" s="3" t="s">
        <v>205</v>
      </c>
      <c r="F1" s="3" t="s">
        <v>206</v>
      </c>
      <c r="G1" s="3" t="s">
        <v>207</v>
      </c>
      <c r="H1" s="3" t="s">
        <v>208</v>
      </c>
      <c r="I1" s="3" t="s">
        <v>5</v>
      </c>
      <c r="J1" s="3" t="s">
        <v>209</v>
      </c>
      <c r="K1" s="3" t="s">
        <v>210</v>
      </c>
    </row>
    <row r="2" customFormat="false" ht="23.85" hidden="false" customHeight="false" outlineLevel="0" collapsed="false">
      <c r="A2" s="17" t="s">
        <v>34</v>
      </c>
      <c r="B2" s="17" t="s">
        <v>211</v>
      </c>
      <c r="C2" s="18" t="s">
        <v>212</v>
      </c>
      <c r="D2" s="18" t="s">
        <v>213</v>
      </c>
      <c r="E2" s="18"/>
      <c r="F2" s="18" t="s">
        <v>214</v>
      </c>
      <c r="G2" s="18"/>
      <c r="H2" s="18" t="s">
        <v>215</v>
      </c>
      <c r="I2" s="19" t="s">
        <v>12</v>
      </c>
      <c r="J2" s="18"/>
      <c r="K2" s="18" t="s">
        <v>216</v>
      </c>
    </row>
    <row r="3" customFormat="false" ht="15" hidden="false" customHeight="false" outlineLevel="0" collapsed="false">
      <c r="A3" s="20" t="s">
        <v>34</v>
      </c>
      <c r="B3" s="21" t="s">
        <v>330</v>
      </c>
      <c r="C3" s="21" t="s">
        <v>212</v>
      </c>
      <c r="D3" s="21" t="s">
        <v>275</v>
      </c>
      <c r="E3" s="21" t="s">
        <v>10</v>
      </c>
      <c r="F3" s="21" t="s">
        <v>214</v>
      </c>
      <c r="G3" s="21"/>
      <c r="H3" s="21"/>
      <c r="I3" s="22" t="s">
        <v>12</v>
      </c>
      <c r="J3" s="21" t="s">
        <v>331</v>
      </c>
      <c r="K3" s="21" t="s">
        <v>332</v>
      </c>
    </row>
    <row r="4" customFormat="false" ht="15" hidden="false" customHeight="false" outlineLevel="0" collapsed="false">
      <c r="A4" s="20" t="s">
        <v>34</v>
      </c>
      <c r="B4" s="21" t="s">
        <v>217</v>
      </c>
      <c r="C4" s="21" t="s">
        <v>218</v>
      </c>
      <c r="D4" s="21"/>
      <c r="E4" s="21"/>
      <c r="F4" s="21" t="s">
        <v>214</v>
      </c>
      <c r="G4" s="21"/>
      <c r="H4" s="21"/>
      <c r="I4" s="22" t="s">
        <v>12</v>
      </c>
      <c r="J4" s="21" t="s">
        <v>333</v>
      </c>
      <c r="K4" s="21"/>
    </row>
    <row r="5" customFormat="false" ht="15" hidden="false" customHeight="false" outlineLevel="0" collapsed="false">
      <c r="A5" s="20" t="s">
        <v>34</v>
      </c>
      <c r="B5" s="21" t="s">
        <v>334</v>
      </c>
      <c r="C5" s="21" t="s">
        <v>335</v>
      </c>
      <c r="D5" s="21"/>
      <c r="E5" s="21"/>
      <c r="F5" s="21" t="s">
        <v>214</v>
      </c>
      <c r="G5" s="21"/>
      <c r="H5" s="21"/>
      <c r="I5" s="22" t="s">
        <v>12</v>
      </c>
      <c r="J5" s="21" t="s">
        <v>333</v>
      </c>
      <c r="K5" s="21"/>
    </row>
    <row r="6" customFormat="false" ht="15" hidden="false" customHeight="false" outlineLevel="0" collapsed="false">
      <c r="A6" s="20" t="s">
        <v>34</v>
      </c>
      <c r="B6" s="21" t="s">
        <v>336</v>
      </c>
      <c r="C6" s="21" t="s">
        <v>337</v>
      </c>
      <c r="D6" s="21"/>
      <c r="E6" s="21"/>
      <c r="F6" s="21" t="s">
        <v>214</v>
      </c>
      <c r="G6" s="21"/>
      <c r="H6" s="21"/>
      <c r="I6" s="22" t="s">
        <v>12</v>
      </c>
      <c r="J6" s="21" t="s">
        <v>338</v>
      </c>
      <c r="K6" s="21"/>
    </row>
    <row r="7" customFormat="false" ht="15" hidden="false" customHeight="false" outlineLevel="0" collapsed="false">
      <c r="A7" s="20" t="s">
        <v>34</v>
      </c>
      <c r="B7" s="21" t="s">
        <v>339</v>
      </c>
      <c r="C7" s="21" t="s">
        <v>340</v>
      </c>
      <c r="D7" s="21"/>
      <c r="E7" s="21"/>
      <c r="F7" s="21" t="s">
        <v>214</v>
      </c>
      <c r="G7" s="21"/>
      <c r="H7" s="21"/>
      <c r="I7" s="22" t="s">
        <v>12</v>
      </c>
      <c r="J7" s="21" t="s">
        <v>341</v>
      </c>
      <c r="K7" s="21"/>
    </row>
    <row r="8" customFormat="false" ht="15" hidden="false" customHeight="false" outlineLevel="0" collapsed="false">
      <c r="A8" s="20" t="s">
        <v>34</v>
      </c>
      <c r="B8" s="21" t="s">
        <v>342</v>
      </c>
      <c r="C8" s="21" t="s">
        <v>340</v>
      </c>
      <c r="D8" s="21"/>
      <c r="E8" s="21"/>
      <c r="F8" s="21" t="s">
        <v>226</v>
      </c>
      <c r="G8" s="21"/>
      <c r="H8" s="21"/>
      <c r="I8" s="22" t="s">
        <v>12</v>
      </c>
      <c r="J8" s="21" t="s">
        <v>341</v>
      </c>
      <c r="K8" s="21" t="s">
        <v>343</v>
      </c>
    </row>
    <row r="9" customFormat="false" ht="15" hidden="false" customHeight="false" outlineLevel="0" collapsed="false">
      <c r="A9" s="20" t="s">
        <v>34</v>
      </c>
      <c r="B9" s="21" t="s">
        <v>344</v>
      </c>
      <c r="C9" s="21" t="s">
        <v>345</v>
      </c>
      <c r="D9" s="21"/>
      <c r="E9" s="21"/>
      <c r="F9" s="21" t="s">
        <v>214</v>
      </c>
      <c r="G9" s="21"/>
      <c r="H9" s="21"/>
      <c r="I9" s="22" t="s">
        <v>12</v>
      </c>
      <c r="J9" s="21" t="s">
        <v>346</v>
      </c>
      <c r="K9" s="21" t="s">
        <v>347</v>
      </c>
    </row>
    <row r="10" customFormat="false" ht="15" hidden="false" customHeight="false" outlineLevel="0" collapsed="false">
      <c r="A10" s="20" t="s">
        <v>34</v>
      </c>
      <c r="B10" s="21" t="s">
        <v>348</v>
      </c>
      <c r="C10" s="21" t="s">
        <v>345</v>
      </c>
      <c r="D10" s="21"/>
      <c r="E10" s="21"/>
      <c r="F10" s="21" t="s">
        <v>214</v>
      </c>
      <c r="G10" s="21"/>
      <c r="H10" s="21"/>
      <c r="I10" s="22" t="s">
        <v>12</v>
      </c>
      <c r="J10" s="21" t="s">
        <v>346</v>
      </c>
      <c r="K10" s="21"/>
    </row>
    <row r="11" customFormat="false" ht="15" hidden="false" customHeight="false" outlineLevel="0" collapsed="false">
      <c r="A11" s="20" t="s">
        <v>34</v>
      </c>
      <c r="B11" s="21" t="s">
        <v>349</v>
      </c>
      <c r="C11" s="21" t="s">
        <v>244</v>
      </c>
      <c r="D11" s="21"/>
      <c r="E11" s="21"/>
      <c r="F11" s="21" t="s">
        <v>214</v>
      </c>
      <c r="G11" s="21"/>
      <c r="H11" s="21" t="s">
        <v>245</v>
      </c>
      <c r="I11" s="22" t="s">
        <v>12</v>
      </c>
      <c r="J11" s="21" t="s">
        <v>350</v>
      </c>
      <c r="K11" s="21" t="s">
        <v>351</v>
      </c>
    </row>
    <row r="12" customFormat="false" ht="15" hidden="false" customHeight="false" outlineLevel="0" collapsed="false">
      <c r="A12" s="20" t="s">
        <v>34</v>
      </c>
      <c r="B12" s="21" t="s">
        <v>352</v>
      </c>
      <c r="C12" s="21" t="s">
        <v>244</v>
      </c>
      <c r="D12" s="21"/>
      <c r="E12" s="21"/>
      <c r="F12" s="21" t="s">
        <v>214</v>
      </c>
      <c r="G12" s="21"/>
      <c r="H12" s="21" t="s">
        <v>245</v>
      </c>
      <c r="I12" s="23" t="s">
        <v>25</v>
      </c>
      <c r="J12" s="21" t="s">
        <v>353</v>
      </c>
      <c r="K12" s="21" t="s">
        <v>354</v>
      </c>
    </row>
    <row r="13" customFormat="false" ht="15" hidden="false" customHeight="false" outlineLevel="0" collapsed="false">
      <c r="A13" s="20" t="s">
        <v>34</v>
      </c>
      <c r="B13" s="21" t="s">
        <v>355</v>
      </c>
      <c r="C13" s="21" t="s">
        <v>244</v>
      </c>
      <c r="D13" s="21"/>
      <c r="E13" s="21"/>
      <c r="F13" s="21" t="s">
        <v>214</v>
      </c>
      <c r="G13" s="21"/>
      <c r="H13" s="21" t="s">
        <v>245</v>
      </c>
      <c r="I13" s="23" t="s">
        <v>25</v>
      </c>
      <c r="J13" s="21" t="s">
        <v>353</v>
      </c>
      <c r="K13" s="21"/>
    </row>
    <row r="14" customFormat="false" ht="15" hidden="false" customHeight="false" outlineLevel="0" collapsed="false">
      <c r="A14" s="20" t="s">
        <v>34</v>
      </c>
      <c r="B14" s="21" t="s">
        <v>356</v>
      </c>
      <c r="C14" s="21" t="s">
        <v>244</v>
      </c>
      <c r="D14" s="21"/>
      <c r="E14" s="21"/>
      <c r="F14" s="21" t="s">
        <v>214</v>
      </c>
      <c r="G14" s="21"/>
      <c r="H14" s="21" t="s">
        <v>245</v>
      </c>
      <c r="I14" s="23" t="s">
        <v>25</v>
      </c>
      <c r="J14" s="21" t="s">
        <v>353</v>
      </c>
      <c r="K14" s="21"/>
    </row>
    <row r="15" customFormat="false" ht="23.85" hidden="false" customHeight="false" outlineLevel="0" collapsed="false">
      <c r="A15" s="20" t="s">
        <v>34</v>
      </c>
      <c r="B15" s="21" t="s">
        <v>357</v>
      </c>
      <c r="C15" s="21" t="s">
        <v>233</v>
      </c>
      <c r="D15" s="21"/>
      <c r="E15" s="21"/>
      <c r="F15" s="21" t="s">
        <v>214</v>
      </c>
      <c r="G15" s="21"/>
      <c r="H15" s="21"/>
      <c r="I15" s="22" t="s">
        <v>12</v>
      </c>
      <c r="J15" s="21" t="s">
        <v>358</v>
      </c>
      <c r="K15" s="21" t="s">
        <v>359</v>
      </c>
    </row>
    <row r="16" customFormat="false" ht="15" hidden="false" customHeight="false" outlineLevel="0" collapsed="false">
      <c r="A16" s="20" t="s">
        <v>34</v>
      </c>
      <c r="B16" s="21" t="s">
        <v>360</v>
      </c>
      <c r="C16" s="21" t="s">
        <v>335</v>
      </c>
      <c r="D16" s="21"/>
      <c r="E16" s="21"/>
      <c r="F16" s="21" t="s">
        <v>226</v>
      </c>
      <c r="G16" s="21"/>
      <c r="H16" s="21"/>
      <c r="I16" s="23" t="s">
        <v>25</v>
      </c>
      <c r="J16" s="21" t="s">
        <v>361</v>
      </c>
      <c r="K16" s="21"/>
    </row>
    <row r="17" customFormat="false" ht="15" hidden="false" customHeight="false" outlineLevel="0" collapsed="false">
      <c r="A17" s="20" t="s">
        <v>34</v>
      </c>
      <c r="B17" s="21" t="s">
        <v>362</v>
      </c>
      <c r="C17" s="21" t="s">
        <v>212</v>
      </c>
      <c r="D17" s="21" t="s">
        <v>275</v>
      </c>
      <c r="E17" s="21" t="s">
        <v>10</v>
      </c>
      <c r="F17" s="21" t="s">
        <v>226</v>
      </c>
      <c r="G17" s="21"/>
      <c r="H17" s="21"/>
      <c r="I17" s="23" t="s">
        <v>25</v>
      </c>
      <c r="J17" s="21" t="s">
        <v>361</v>
      </c>
      <c r="K17" s="21" t="s">
        <v>363</v>
      </c>
    </row>
    <row r="18" customFormat="false" ht="15" hidden="false" customHeight="false" outlineLevel="0" collapsed="false">
      <c r="A18" s="20" t="s">
        <v>34</v>
      </c>
      <c r="B18" s="21" t="s">
        <v>364</v>
      </c>
      <c r="C18" s="21" t="s">
        <v>262</v>
      </c>
      <c r="D18" s="21"/>
      <c r="E18" s="21"/>
      <c r="F18" s="21" t="s">
        <v>226</v>
      </c>
      <c r="G18" s="21"/>
      <c r="H18" s="21"/>
      <c r="I18" s="23" t="s">
        <v>25</v>
      </c>
      <c r="J18" s="21" t="s">
        <v>361</v>
      </c>
      <c r="K18" s="21"/>
    </row>
    <row r="19" customFormat="false" ht="15" hidden="false" customHeight="false" outlineLevel="0" collapsed="false">
      <c r="A19" s="20" t="s">
        <v>34</v>
      </c>
      <c r="B19" s="21" t="s">
        <v>287</v>
      </c>
      <c r="C19" s="21" t="s">
        <v>262</v>
      </c>
      <c r="D19" s="21"/>
      <c r="E19" s="21"/>
      <c r="F19" s="21" t="s">
        <v>214</v>
      </c>
      <c r="G19" s="21"/>
      <c r="H19" s="21" t="s">
        <v>270</v>
      </c>
      <c r="I19" s="22" t="s">
        <v>12</v>
      </c>
      <c r="J19" s="21"/>
      <c r="K19" s="21"/>
    </row>
    <row r="20" customFormat="false" ht="23.85" hidden="false" customHeight="false" outlineLevel="0" collapsed="false">
      <c r="A20" s="17" t="s">
        <v>38</v>
      </c>
      <c r="B20" s="17" t="s">
        <v>211</v>
      </c>
      <c r="C20" s="18" t="s">
        <v>212</v>
      </c>
      <c r="D20" s="18" t="s">
        <v>213</v>
      </c>
      <c r="E20" s="18"/>
      <c r="F20" s="18" t="s">
        <v>214</v>
      </c>
      <c r="G20" s="18"/>
      <c r="H20" s="18" t="s">
        <v>215</v>
      </c>
      <c r="I20" s="19" t="s">
        <v>12</v>
      </c>
      <c r="J20" s="18"/>
      <c r="K20" s="18" t="s">
        <v>216</v>
      </c>
    </row>
    <row r="21" customFormat="false" ht="15" hidden="false" customHeight="false" outlineLevel="0" collapsed="false">
      <c r="A21" s="20" t="s">
        <v>38</v>
      </c>
      <c r="B21" s="21" t="s">
        <v>217</v>
      </c>
      <c r="C21" s="21" t="s">
        <v>306</v>
      </c>
      <c r="D21" s="21"/>
      <c r="E21" s="21"/>
      <c r="F21" s="21" t="s">
        <v>214</v>
      </c>
      <c r="G21" s="21" t="s">
        <v>214</v>
      </c>
      <c r="H21" s="21"/>
      <c r="I21" s="22" t="s">
        <v>12</v>
      </c>
      <c r="J21" s="21"/>
      <c r="K21" s="21" t="s">
        <v>365</v>
      </c>
    </row>
    <row r="22" customFormat="false" ht="15" hidden="false" customHeight="false" outlineLevel="0" collapsed="false">
      <c r="A22" s="20" t="s">
        <v>38</v>
      </c>
      <c r="B22" s="21" t="s">
        <v>334</v>
      </c>
      <c r="C22" s="21" t="s">
        <v>337</v>
      </c>
      <c r="D22" s="21"/>
      <c r="E22" s="21"/>
      <c r="F22" s="21" t="s">
        <v>226</v>
      </c>
      <c r="G22" s="21"/>
      <c r="H22" s="21"/>
      <c r="I22" s="22" t="s">
        <v>12</v>
      </c>
      <c r="J22" s="21"/>
      <c r="K22" s="21"/>
    </row>
    <row r="23" customFormat="false" ht="15" hidden="false" customHeight="false" outlineLevel="0" collapsed="false">
      <c r="A23" s="20" t="s">
        <v>38</v>
      </c>
      <c r="B23" s="21" t="s">
        <v>293</v>
      </c>
      <c r="C23" s="21" t="s">
        <v>244</v>
      </c>
      <c r="D23" s="21"/>
      <c r="E23" s="21"/>
      <c r="F23" s="21" t="s">
        <v>214</v>
      </c>
      <c r="G23" s="21"/>
      <c r="H23" s="21" t="s">
        <v>294</v>
      </c>
      <c r="I23" s="22" t="s">
        <v>12</v>
      </c>
      <c r="J23" s="21"/>
      <c r="K23" s="21"/>
    </row>
    <row r="24" customFormat="false" ht="23.85" hidden="false" customHeight="false" outlineLevel="0" collapsed="false">
      <c r="A24" s="17" t="s">
        <v>41</v>
      </c>
      <c r="B24" s="17" t="s">
        <v>211</v>
      </c>
      <c r="C24" s="18" t="s">
        <v>212</v>
      </c>
      <c r="D24" s="18" t="s">
        <v>213</v>
      </c>
      <c r="E24" s="18"/>
      <c r="F24" s="18" t="s">
        <v>214</v>
      </c>
      <c r="G24" s="18"/>
      <c r="H24" s="18" t="s">
        <v>215</v>
      </c>
      <c r="I24" s="19" t="s">
        <v>12</v>
      </c>
      <c r="J24" s="18"/>
      <c r="K24" s="18" t="s">
        <v>216</v>
      </c>
    </row>
    <row r="25" customFormat="false" ht="15" hidden="false" customHeight="false" outlineLevel="0" collapsed="false">
      <c r="A25" s="20" t="s">
        <v>41</v>
      </c>
      <c r="B25" s="21" t="s">
        <v>366</v>
      </c>
      <c r="C25" s="21" t="s">
        <v>212</v>
      </c>
      <c r="D25" s="21" t="s">
        <v>275</v>
      </c>
      <c r="E25" s="21" t="s">
        <v>34</v>
      </c>
      <c r="F25" s="21" t="s">
        <v>214</v>
      </c>
      <c r="G25" s="21"/>
      <c r="H25" s="21"/>
      <c r="I25" s="22" t="s">
        <v>12</v>
      </c>
      <c r="J25" s="21" t="s">
        <v>333</v>
      </c>
      <c r="K25" s="21"/>
    </row>
    <row r="26" customFormat="false" ht="23.85" hidden="false" customHeight="false" outlineLevel="0" collapsed="false">
      <c r="A26" s="20" t="s">
        <v>41</v>
      </c>
      <c r="B26" s="21" t="s">
        <v>367</v>
      </c>
      <c r="C26" s="21" t="s">
        <v>212</v>
      </c>
      <c r="D26" s="21" t="s">
        <v>275</v>
      </c>
      <c r="E26" s="21" t="s">
        <v>38</v>
      </c>
      <c r="F26" s="21" t="s">
        <v>214</v>
      </c>
      <c r="G26" s="21"/>
      <c r="H26" s="21"/>
      <c r="I26" s="22" t="s">
        <v>12</v>
      </c>
      <c r="J26" s="21"/>
      <c r="K26" s="21"/>
    </row>
    <row r="27" customFormat="false" ht="23.85" hidden="false" customHeight="false" outlineLevel="0" collapsed="false">
      <c r="A27" s="20" t="s">
        <v>41</v>
      </c>
      <c r="B27" s="21" t="s">
        <v>368</v>
      </c>
      <c r="C27" s="21" t="s">
        <v>233</v>
      </c>
      <c r="D27" s="21"/>
      <c r="E27" s="21"/>
      <c r="F27" s="21" t="s">
        <v>214</v>
      </c>
      <c r="G27" s="21" t="s">
        <v>214</v>
      </c>
      <c r="H27" s="21"/>
      <c r="I27" s="22" t="s">
        <v>12</v>
      </c>
      <c r="J27" s="21" t="s">
        <v>369</v>
      </c>
      <c r="K27" s="21" t="s">
        <v>370</v>
      </c>
    </row>
    <row r="28" customFormat="false" ht="15" hidden="false" customHeight="false" outlineLevel="0" collapsed="false">
      <c r="A28" s="20" t="s">
        <v>41</v>
      </c>
      <c r="B28" s="21" t="s">
        <v>217</v>
      </c>
      <c r="C28" s="21" t="s">
        <v>218</v>
      </c>
      <c r="D28" s="21"/>
      <c r="E28" s="21"/>
      <c r="F28" s="21" t="s">
        <v>214</v>
      </c>
      <c r="G28" s="21"/>
      <c r="H28" s="21"/>
      <c r="I28" s="22" t="s">
        <v>12</v>
      </c>
      <c r="J28" s="21"/>
      <c r="K28" s="21"/>
    </row>
    <row r="29" customFormat="false" ht="15" hidden="false" customHeight="false" outlineLevel="0" collapsed="false">
      <c r="A29" s="20" t="s">
        <v>41</v>
      </c>
      <c r="B29" s="21" t="s">
        <v>334</v>
      </c>
      <c r="C29" s="21" t="s">
        <v>335</v>
      </c>
      <c r="D29" s="21"/>
      <c r="E29" s="21"/>
      <c r="F29" s="21" t="s">
        <v>226</v>
      </c>
      <c r="G29" s="21"/>
      <c r="H29" s="21"/>
      <c r="I29" s="22" t="s">
        <v>12</v>
      </c>
      <c r="J29" s="21"/>
      <c r="K29" s="21"/>
    </row>
    <row r="30" customFormat="false" ht="15" hidden="false" customHeight="false" outlineLevel="0" collapsed="false">
      <c r="A30" s="20" t="s">
        <v>41</v>
      </c>
      <c r="B30" s="21" t="s">
        <v>371</v>
      </c>
      <c r="C30" s="21" t="s">
        <v>233</v>
      </c>
      <c r="D30" s="21"/>
      <c r="E30" s="21"/>
      <c r="F30" s="21" t="s">
        <v>226</v>
      </c>
      <c r="G30" s="21"/>
      <c r="H30" s="21"/>
      <c r="I30" s="22" t="s">
        <v>12</v>
      </c>
      <c r="J30" s="21"/>
      <c r="K30" s="21" t="s">
        <v>372</v>
      </c>
    </row>
    <row r="31" customFormat="false" ht="15" hidden="false" customHeight="false" outlineLevel="0" collapsed="false">
      <c r="A31" s="20" t="s">
        <v>41</v>
      </c>
      <c r="B31" s="21" t="s">
        <v>373</v>
      </c>
      <c r="C31" s="21" t="s">
        <v>257</v>
      </c>
      <c r="D31" s="21"/>
      <c r="E31" s="21"/>
      <c r="F31" s="21" t="s">
        <v>214</v>
      </c>
      <c r="G31" s="21"/>
      <c r="H31" s="21" t="s">
        <v>374</v>
      </c>
      <c r="I31" s="22" t="s">
        <v>12</v>
      </c>
      <c r="J31" s="21"/>
      <c r="K31" s="21" t="s">
        <v>375</v>
      </c>
    </row>
    <row r="32" customFormat="false" ht="23.85" hidden="false" customHeight="false" outlineLevel="0" collapsed="false">
      <c r="A32" s="20" t="s">
        <v>41</v>
      </c>
      <c r="B32" s="21" t="s">
        <v>325</v>
      </c>
      <c r="C32" s="21" t="s">
        <v>233</v>
      </c>
      <c r="D32" s="21"/>
      <c r="E32" s="21"/>
      <c r="F32" s="21" t="s">
        <v>214</v>
      </c>
      <c r="G32" s="21"/>
      <c r="H32" s="21" t="s">
        <v>376</v>
      </c>
      <c r="I32" s="22" t="s">
        <v>12</v>
      </c>
      <c r="J32" s="21"/>
      <c r="K32" s="21" t="s">
        <v>377</v>
      </c>
    </row>
    <row r="33" customFormat="false" ht="23.85" hidden="false" customHeight="false" outlineLevel="0" collapsed="false">
      <c r="A33" s="20" t="s">
        <v>41</v>
      </c>
      <c r="B33" s="21" t="s">
        <v>293</v>
      </c>
      <c r="C33" s="21" t="s">
        <v>244</v>
      </c>
      <c r="D33" s="21"/>
      <c r="E33" s="21"/>
      <c r="F33" s="21" t="s">
        <v>214</v>
      </c>
      <c r="G33" s="21"/>
      <c r="H33" s="21" t="s">
        <v>294</v>
      </c>
      <c r="I33" s="22" t="s">
        <v>12</v>
      </c>
      <c r="J33" s="21"/>
      <c r="K33" s="21" t="s">
        <v>378</v>
      </c>
    </row>
    <row r="34" customFormat="false" ht="23.85" hidden="false" customHeight="false" outlineLevel="0" collapsed="false">
      <c r="A34" s="17" t="s">
        <v>44</v>
      </c>
      <c r="B34" s="17" t="s">
        <v>211</v>
      </c>
      <c r="C34" s="18" t="s">
        <v>212</v>
      </c>
      <c r="D34" s="18" t="s">
        <v>213</v>
      </c>
      <c r="E34" s="18"/>
      <c r="F34" s="18" t="s">
        <v>214</v>
      </c>
      <c r="G34" s="18"/>
      <c r="H34" s="18" t="s">
        <v>215</v>
      </c>
      <c r="I34" s="19" t="s">
        <v>12</v>
      </c>
      <c r="J34" s="18"/>
      <c r="K34" s="18" t="s">
        <v>216</v>
      </c>
    </row>
    <row r="35" customFormat="false" ht="15" hidden="false" customHeight="false" outlineLevel="0" collapsed="false">
      <c r="A35" s="20" t="s">
        <v>44</v>
      </c>
      <c r="B35" s="21" t="s">
        <v>366</v>
      </c>
      <c r="C35" s="21" t="s">
        <v>212</v>
      </c>
      <c r="D35" s="21" t="s">
        <v>275</v>
      </c>
      <c r="E35" s="21" t="s">
        <v>34</v>
      </c>
      <c r="F35" s="21" t="s">
        <v>214</v>
      </c>
      <c r="G35" s="21"/>
      <c r="H35" s="21"/>
      <c r="I35" s="22" t="s">
        <v>12</v>
      </c>
      <c r="J35" s="21"/>
      <c r="K35" s="21"/>
    </row>
    <row r="36" customFormat="false" ht="15" hidden="false" customHeight="false" outlineLevel="0" collapsed="false">
      <c r="A36" s="20" t="s">
        <v>44</v>
      </c>
      <c r="B36" s="21" t="s">
        <v>379</v>
      </c>
      <c r="C36" s="21" t="s">
        <v>240</v>
      </c>
      <c r="D36" s="21"/>
      <c r="E36" s="21"/>
      <c r="F36" s="21" t="s">
        <v>214</v>
      </c>
      <c r="G36" s="21"/>
      <c r="H36" s="21"/>
      <c r="I36" s="22" t="s">
        <v>12</v>
      </c>
      <c r="J36" s="21"/>
      <c r="K36" s="21" t="s">
        <v>380</v>
      </c>
    </row>
    <row r="37" customFormat="false" ht="15" hidden="false" customHeight="false" outlineLevel="0" collapsed="false">
      <c r="A37" s="20" t="s">
        <v>44</v>
      </c>
      <c r="B37" s="21" t="s">
        <v>381</v>
      </c>
      <c r="C37" s="21" t="s">
        <v>257</v>
      </c>
      <c r="D37" s="21"/>
      <c r="E37" s="21"/>
      <c r="F37" s="21" t="s">
        <v>214</v>
      </c>
      <c r="G37" s="21"/>
      <c r="H37" s="21" t="s">
        <v>258</v>
      </c>
      <c r="I37" s="22" t="s">
        <v>12</v>
      </c>
      <c r="J37" s="21"/>
      <c r="K37" s="21"/>
    </row>
    <row r="38" customFormat="false" ht="23.85" hidden="false" customHeight="false" outlineLevel="0" collapsed="false">
      <c r="A38" s="17" t="s">
        <v>47</v>
      </c>
      <c r="B38" s="17" t="s">
        <v>211</v>
      </c>
      <c r="C38" s="18" t="s">
        <v>212</v>
      </c>
      <c r="D38" s="18" t="s">
        <v>213</v>
      </c>
      <c r="E38" s="18"/>
      <c r="F38" s="18" t="s">
        <v>214</v>
      </c>
      <c r="G38" s="18"/>
      <c r="H38" s="18" t="s">
        <v>215</v>
      </c>
      <c r="I38" s="19" t="s">
        <v>12</v>
      </c>
      <c r="J38" s="18"/>
      <c r="K38" s="18" t="s">
        <v>216</v>
      </c>
    </row>
    <row r="39" customFormat="false" ht="15" hidden="false" customHeight="false" outlineLevel="0" collapsed="false">
      <c r="A39" s="20" t="s">
        <v>47</v>
      </c>
      <c r="B39" s="21" t="s">
        <v>366</v>
      </c>
      <c r="C39" s="21" t="s">
        <v>212</v>
      </c>
      <c r="D39" s="21" t="s">
        <v>275</v>
      </c>
      <c r="E39" s="21" t="s">
        <v>34</v>
      </c>
      <c r="F39" s="21" t="s">
        <v>226</v>
      </c>
      <c r="G39" s="21"/>
      <c r="H39" s="21"/>
      <c r="I39" s="22" t="s">
        <v>12</v>
      </c>
      <c r="J39" s="21"/>
      <c r="K39" s="21" t="s">
        <v>382</v>
      </c>
    </row>
    <row r="40" customFormat="false" ht="23.85" hidden="false" customHeight="false" outlineLevel="0" collapsed="false">
      <c r="A40" s="20" t="s">
        <v>47</v>
      </c>
      <c r="B40" s="21" t="s">
        <v>383</v>
      </c>
      <c r="C40" s="21" t="s">
        <v>212</v>
      </c>
      <c r="D40" s="21" t="s">
        <v>275</v>
      </c>
      <c r="E40" s="21" t="s">
        <v>41</v>
      </c>
      <c r="F40" s="21" t="s">
        <v>226</v>
      </c>
      <c r="G40" s="21"/>
      <c r="H40" s="21"/>
      <c r="I40" s="22" t="s">
        <v>12</v>
      </c>
      <c r="J40" s="21"/>
      <c r="K40" s="21" t="s">
        <v>384</v>
      </c>
    </row>
    <row r="41" customFormat="false" ht="15" hidden="false" customHeight="false" outlineLevel="0" collapsed="false">
      <c r="A41" s="20" t="s">
        <v>47</v>
      </c>
      <c r="B41" s="21" t="s">
        <v>313</v>
      </c>
      <c r="C41" s="21" t="s">
        <v>233</v>
      </c>
      <c r="D41" s="21"/>
      <c r="E41" s="21"/>
      <c r="F41" s="21" t="s">
        <v>226</v>
      </c>
      <c r="G41" s="21"/>
      <c r="H41" s="21"/>
      <c r="I41" s="22" t="s">
        <v>12</v>
      </c>
      <c r="J41" s="21" t="s">
        <v>385</v>
      </c>
      <c r="K41" s="21" t="s">
        <v>386</v>
      </c>
    </row>
    <row r="42" customFormat="false" ht="15" hidden="false" customHeight="false" outlineLevel="0" collapsed="false">
      <c r="A42" s="20" t="s">
        <v>47</v>
      </c>
      <c r="B42" s="21" t="s">
        <v>387</v>
      </c>
      <c r="C42" s="21" t="s">
        <v>291</v>
      </c>
      <c r="D42" s="21"/>
      <c r="E42" s="21"/>
      <c r="F42" s="21" t="s">
        <v>214</v>
      </c>
      <c r="G42" s="21"/>
      <c r="H42" s="21"/>
      <c r="I42" s="22" t="s">
        <v>12</v>
      </c>
      <c r="J42" s="21" t="s">
        <v>388</v>
      </c>
      <c r="K42" s="21" t="s">
        <v>389</v>
      </c>
    </row>
    <row r="43" customFormat="false" ht="23.85" hidden="false" customHeight="false" outlineLevel="0" collapsed="false">
      <c r="A43" s="20" t="s">
        <v>47</v>
      </c>
      <c r="B43" s="21" t="s">
        <v>390</v>
      </c>
      <c r="C43" s="21" t="s">
        <v>391</v>
      </c>
      <c r="D43" s="21"/>
      <c r="E43" s="21"/>
      <c r="F43" s="21" t="s">
        <v>214</v>
      </c>
      <c r="G43" s="21"/>
      <c r="H43" s="21"/>
      <c r="I43" s="22" t="s">
        <v>12</v>
      </c>
      <c r="J43" s="21" t="s">
        <v>392</v>
      </c>
      <c r="K43" s="21" t="s">
        <v>393</v>
      </c>
    </row>
    <row r="44" customFormat="false" ht="15" hidden="false" customHeight="false" outlineLevel="0" collapsed="false">
      <c r="A44" s="20" t="s">
        <v>47</v>
      </c>
      <c r="B44" s="21" t="s">
        <v>394</v>
      </c>
      <c r="C44" s="21" t="s">
        <v>391</v>
      </c>
      <c r="D44" s="21"/>
      <c r="E44" s="21"/>
      <c r="F44" s="21" t="s">
        <v>226</v>
      </c>
      <c r="G44" s="21"/>
      <c r="H44" s="21"/>
      <c r="I44" s="22" t="s">
        <v>12</v>
      </c>
      <c r="J44" s="21" t="s">
        <v>395</v>
      </c>
      <c r="K44" s="21" t="s">
        <v>396</v>
      </c>
    </row>
    <row r="45" customFormat="false" ht="15" hidden="false" customHeight="false" outlineLevel="0" collapsed="false">
      <c r="A45" s="20" t="s">
        <v>47</v>
      </c>
      <c r="B45" s="21" t="s">
        <v>397</v>
      </c>
      <c r="C45" s="21" t="s">
        <v>398</v>
      </c>
      <c r="D45" s="21"/>
      <c r="E45" s="21"/>
      <c r="F45" s="21" t="s">
        <v>214</v>
      </c>
      <c r="G45" s="21"/>
      <c r="H45" s="21" t="s">
        <v>399</v>
      </c>
      <c r="I45" s="22" t="s">
        <v>12</v>
      </c>
      <c r="J45" s="21" t="s">
        <v>395</v>
      </c>
      <c r="K45" s="21" t="s">
        <v>400</v>
      </c>
    </row>
    <row r="46" customFormat="false" ht="15" hidden="false" customHeight="false" outlineLevel="0" collapsed="false">
      <c r="A46" s="20" t="s">
        <v>47</v>
      </c>
      <c r="B46" s="21" t="s">
        <v>401</v>
      </c>
      <c r="C46" s="21" t="s">
        <v>402</v>
      </c>
      <c r="D46" s="21"/>
      <c r="E46" s="21"/>
      <c r="F46" s="21" t="s">
        <v>214</v>
      </c>
      <c r="G46" s="21"/>
      <c r="H46" s="21" t="s">
        <v>403</v>
      </c>
      <c r="I46" s="22" t="s">
        <v>12</v>
      </c>
      <c r="J46" s="21"/>
      <c r="K46" s="21"/>
    </row>
    <row r="47" customFormat="false" ht="15" hidden="false" customHeight="false" outlineLevel="0" collapsed="false">
      <c r="A47" s="20" t="s">
        <v>47</v>
      </c>
      <c r="B47" s="21" t="s">
        <v>404</v>
      </c>
      <c r="C47" s="21" t="s">
        <v>244</v>
      </c>
      <c r="D47" s="21"/>
      <c r="E47" s="21"/>
      <c r="F47" s="21" t="s">
        <v>214</v>
      </c>
      <c r="G47" s="21"/>
      <c r="H47" s="21" t="s">
        <v>294</v>
      </c>
      <c r="I47" s="22" t="s">
        <v>12</v>
      </c>
      <c r="J47" s="21"/>
      <c r="K47" s="21"/>
    </row>
    <row r="48" customFormat="false" ht="15" hidden="false" customHeight="false" outlineLevel="0" collapsed="false">
      <c r="A48" s="20" t="s">
        <v>47</v>
      </c>
      <c r="B48" s="21" t="s">
        <v>405</v>
      </c>
      <c r="C48" s="21" t="s">
        <v>262</v>
      </c>
      <c r="D48" s="21"/>
      <c r="E48" s="21"/>
      <c r="F48" s="21" t="s">
        <v>214</v>
      </c>
      <c r="G48" s="21"/>
      <c r="H48" s="21" t="s">
        <v>270</v>
      </c>
      <c r="I48" s="22" t="s">
        <v>12</v>
      </c>
      <c r="J48" s="21"/>
      <c r="K48" s="21"/>
    </row>
    <row r="49" customFormat="false" ht="23.85" hidden="false" customHeight="false" outlineLevel="0" collapsed="false">
      <c r="A49" s="20" t="s">
        <v>47</v>
      </c>
      <c r="B49" s="21" t="s">
        <v>406</v>
      </c>
      <c r="C49" s="21" t="s">
        <v>262</v>
      </c>
      <c r="D49" s="21"/>
      <c r="E49" s="21"/>
      <c r="F49" s="21" t="s">
        <v>226</v>
      </c>
      <c r="G49" s="21"/>
      <c r="H49" s="21"/>
      <c r="I49" s="22" t="s">
        <v>12</v>
      </c>
      <c r="J49" s="21"/>
      <c r="K49" s="21" t="s">
        <v>407</v>
      </c>
    </row>
    <row r="50" customFormat="false" ht="23.85" hidden="false" customHeight="false" outlineLevel="0" collapsed="false">
      <c r="A50" s="17" t="s">
        <v>50</v>
      </c>
      <c r="B50" s="17" t="s">
        <v>211</v>
      </c>
      <c r="C50" s="18" t="s">
        <v>212</v>
      </c>
      <c r="D50" s="18" t="s">
        <v>213</v>
      </c>
      <c r="E50" s="18"/>
      <c r="F50" s="18" t="s">
        <v>214</v>
      </c>
      <c r="G50" s="18"/>
      <c r="H50" s="18" t="s">
        <v>215</v>
      </c>
      <c r="I50" s="19" t="s">
        <v>12</v>
      </c>
      <c r="J50" s="18"/>
      <c r="K50" s="18" t="s">
        <v>216</v>
      </c>
    </row>
    <row r="51" customFormat="false" ht="15" hidden="false" customHeight="false" outlineLevel="0" collapsed="false">
      <c r="A51" s="20" t="s">
        <v>50</v>
      </c>
      <c r="B51" s="21" t="s">
        <v>366</v>
      </c>
      <c r="C51" s="21" t="s">
        <v>212</v>
      </c>
      <c r="D51" s="21" t="s">
        <v>275</v>
      </c>
      <c r="E51" s="21" t="s">
        <v>34</v>
      </c>
      <c r="F51" s="21" t="s">
        <v>214</v>
      </c>
      <c r="G51" s="21"/>
      <c r="H51" s="21"/>
      <c r="I51" s="22" t="s">
        <v>12</v>
      </c>
      <c r="J51" s="21"/>
      <c r="K51" s="21"/>
    </row>
    <row r="52" customFormat="false" ht="15" hidden="false" customHeight="false" outlineLevel="0" collapsed="false">
      <c r="A52" s="20" t="s">
        <v>50</v>
      </c>
      <c r="B52" s="21" t="s">
        <v>408</v>
      </c>
      <c r="C52" s="21" t="s">
        <v>257</v>
      </c>
      <c r="D52" s="21"/>
      <c r="E52" s="21"/>
      <c r="F52" s="21" t="s">
        <v>214</v>
      </c>
      <c r="G52" s="21"/>
      <c r="H52" s="21"/>
      <c r="I52" s="22" t="s">
        <v>12</v>
      </c>
      <c r="J52" s="21"/>
      <c r="K52" s="21" t="s">
        <v>409</v>
      </c>
    </row>
    <row r="53" customFormat="false" ht="15" hidden="false" customHeight="false" outlineLevel="0" collapsed="false">
      <c r="A53" s="20" t="s">
        <v>50</v>
      </c>
      <c r="B53" s="21" t="s">
        <v>410</v>
      </c>
      <c r="C53" s="21" t="s">
        <v>411</v>
      </c>
      <c r="D53" s="21"/>
      <c r="E53" s="21"/>
      <c r="F53" s="21" t="s">
        <v>214</v>
      </c>
      <c r="G53" s="21"/>
      <c r="H53" s="21"/>
      <c r="I53" s="22" t="s">
        <v>12</v>
      </c>
      <c r="J53" s="21"/>
      <c r="K53" s="21"/>
    </row>
    <row r="54" customFormat="false" ht="15" hidden="false" customHeight="false" outlineLevel="0" collapsed="false">
      <c r="A54" s="20" t="s">
        <v>50</v>
      </c>
      <c r="B54" s="21" t="s">
        <v>412</v>
      </c>
      <c r="C54" s="21" t="s">
        <v>411</v>
      </c>
      <c r="D54" s="21"/>
      <c r="E54" s="21"/>
      <c r="F54" s="21" t="s">
        <v>214</v>
      </c>
      <c r="G54" s="21"/>
      <c r="H54" s="21"/>
      <c r="I54" s="22" t="s">
        <v>12</v>
      </c>
      <c r="J54" s="21"/>
      <c r="K54" s="21"/>
    </row>
    <row r="55" customFormat="false" ht="23.85" hidden="false" customHeight="false" outlineLevel="0" collapsed="false">
      <c r="A55" s="17" t="s">
        <v>53</v>
      </c>
      <c r="B55" s="17" t="s">
        <v>211</v>
      </c>
      <c r="C55" s="18" t="s">
        <v>212</v>
      </c>
      <c r="D55" s="18" t="s">
        <v>213</v>
      </c>
      <c r="E55" s="18"/>
      <c r="F55" s="18" t="s">
        <v>214</v>
      </c>
      <c r="G55" s="18"/>
      <c r="H55" s="18" t="s">
        <v>215</v>
      </c>
      <c r="I55" s="19" t="s">
        <v>12</v>
      </c>
      <c r="J55" s="18"/>
      <c r="K55" s="18" t="s">
        <v>216</v>
      </c>
    </row>
    <row r="56" customFormat="false" ht="15" hidden="false" customHeight="false" outlineLevel="0" collapsed="false">
      <c r="A56" s="20" t="s">
        <v>53</v>
      </c>
      <c r="B56" s="21" t="s">
        <v>366</v>
      </c>
      <c r="C56" s="21" t="s">
        <v>212</v>
      </c>
      <c r="D56" s="21" t="s">
        <v>275</v>
      </c>
      <c r="E56" s="21" t="s">
        <v>34</v>
      </c>
      <c r="F56" s="21" t="s">
        <v>214</v>
      </c>
      <c r="G56" s="21"/>
      <c r="H56" s="21"/>
      <c r="I56" s="22" t="s">
        <v>12</v>
      </c>
      <c r="J56" s="21"/>
      <c r="K56" s="21"/>
    </row>
    <row r="57" customFormat="false" ht="23.85" hidden="false" customHeight="false" outlineLevel="0" collapsed="false">
      <c r="A57" s="20" t="s">
        <v>53</v>
      </c>
      <c r="B57" s="21" t="s">
        <v>383</v>
      </c>
      <c r="C57" s="21" t="s">
        <v>212</v>
      </c>
      <c r="D57" s="21" t="s">
        <v>275</v>
      </c>
      <c r="E57" s="21" t="s">
        <v>41</v>
      </c>
      <c r="F57" s="21" t="s">
        <v>226</v>
      </c>
      <c r="G57" s="21"/>
      <c r="H57" s="21"/>
      <c r="I57" s="22" t="s">
        <v>12</v>
      </c>
      <c r="J57" s="21"/>
      <c r="K57" s="21" t="s">
        <v>413</v>
      </c>
    </row>
    <row r="58" customFormat="false" ht="15" hidden="false" customHeight="false" outlineLevel="0" collapsed="false">
      <c r="A58" s="20" t="s">
        <v>53</v>
      </c>
      <c r="B58" s="21" t="s">
        <v>405</v>
      </c>
      <c r="C58" s="21" t="s">
        <v>262</v>
      </c>
      <c r="D58" s="21"/>
      <c r="E58" s="21"/>
      <c r="F58" s="21" t="s">
        <v>214</v>
      </c>
      <c r="G58" s="21"/>
      <c r="H58" s="21"/>
      <c r="I58" s="22" t="s">
        <v>12</v>
      </c>
      <c r="J58" s="21"/>
      <c r="K58" s="21"/>
    </row>
    <row r="59" customFormat="false" ht="15" hidden="false" customHeight="false" outlineLevel="0" collapsed="false">
      <c r="A59" s="20" t="s">
        <v>53</v>
      </c>
      <c r="B59" s="21" t="s">
        <v>406</v>
      </c>
      <c r="C59" s="21" t="s">
        <v>262</v>
      </c>
      <c r="D59" s="21"/>
      <c r="E59" s="21"/>
      <c r="F59" s="21" t="s">
        <v>214</v>
      </c>
      <c r="G59" s="21"/>
      <c r="H59" s="21"/>
      <c r="I59" s="22" t="s">
        <v>12</v>
      </c>
      <c r="J59" s="21"/>
      <c r="K59" s="21"/>
    </row>
    <row r="60" customFormat="false" ht="15" hidden="false" customHeight="false" outlineLevel="0" collapsed="false">
      <c r="A60" s="20" t="s">
        <v>53</v>
      </c>
      <c r="B60" s="21" t="s">
        <v>414</v>
      </c>
      <c r="C60" s="21" t="s">
        <v>218</v>
      </c>
      <c r="D60" s="21"/>
      <c r="E60" s="21"/>
      <c r="F60" s="21" t="s">
        <v>226</v>
      </c>
      <c r="G60" s="21"/>
      <c r="H60" s="21"/>
      <c r="I60" s="22" t="s">
        <v>12</v>
      </c>
      <c r="J60" s="21"/>
      <c r="K60" s="21"/>
    </row>
  </sheetData>
  <autoFilter ref="A1:K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9" min="9" style="0" width="8"/>
    <col collapsed="false" customWidth="true" hidden="false" outlineLevel="0" max="10" min="10" style="0" width="18"/>
    <col collapsed="false" customWidth="true" hidden="false" outlineLevel="0" max="11" min="11" style="0" width="80"/>
  </cols>
  <sheetData>
    <row r="1" customFormat="false" ht="23.85" hidden="false" customHeight="false" outlineLevel="0" collapsed="false">
      <c r="A1" s="3" t="s">
        <v>3</v>
      </c>
      <c r="B1" s="3" t="s">
        <v>202</v>
      </c>
      <c r="C1" s="3" t="s">
        <v>203</v>
      </c>
      <c r="D1" s="3" t="s">
        <v>204</v>
      </c>
      <c r="E1" s="3" t="s">
        <v>205</v>
      </c>
      <c r="F1" s="3" t="s">
        <v>206</v>
      </c>
      <c r="G1" s="3" t="s">
        <v>207</v>
      </c>
      <c r="H1" s="3" t="s">
        <v>208</v>
      </c>
      <c r="I1" s="3" t="s">
        <v>5</v>
      </c>
      <c r="J1" s="3" t="s">
        <v>209</v>
      </c>
      <c r="K1" s="3" t="s">
        <v>210</v>
      </c>
    </row>
    <row r="2" customFormat="false" ht="23.85" hidden="false" customHeight="false" outlineLevel="0" collapsed="false">
      <c r="A2" s="17" t="s">
        <v>56</v>
      </c>
      <c r="B2" s="17" t="s">
        <v>211</v>
      </c>
      <c r="C2" s="18" t="s">
        <v>212</v>
      </c>
      <c r="D2" s="18" t="s">
        <v>213</v>
      </c>
      <c r="E2" s="18"/>
      <c r="F2" s="18" t="s">
        <v>214</v>
      </c>
      <c r="G2" s="18"/>
      <c r="H2" s="18" t="s">
        <v>215</v>
      </c>
      <c r="I2" s="19" t="s">
        <v>12</v>
      </c>
      <c r="J2" s="18"/>
      <c r="K2" s="18" t="s">
        <v>216</v>
      </c>
    </row>
    <row r="3" customFormat="false" ht="23.85" hidden="false" customHeight="false" outlineLevel="0" collapsed="false">
      <c r="A3" s="20" t="s">
        <v>56</v>
      </c>
      <c r="B3" s="21" t="s">
        <v>415</v>
      </c>
      <c r="C3" s="21" t="s">
        <v>233</v>
      </c>
      <c r="D3" s="21"/>
      <c r="E3" s="21"/>
      <c r="F3" s="21" t="s">
        <v>214</v>
      </c>
      <c r="G3" s="21" t="s">
        <v>214</v>
      </c>
      <c r="H3" s="21"/>
      <c r="I3" s="22" t="s">
        <v>12</v>
      </c>
      <c r="J3" s="21" t="s">
        <v>416</v>
      </c>
      <c r="K3" s="21" t="s">
        <v>417</v>
      </c>
    </row>
    <row r="4" customFormat="false" ht="23.85" hidden="false" customHeight="false" outlineLevel="0" collapsed="false">
      <c r="A4" s="20" t="s">
        <v>56</v>
      </c>
      <c r="B4" s="21" t="s">
        <v>383</v>
      </c>
      <c r="C4" s="21" t="s">
        <v>212</v>
      </c>
      <c r="D4" s="21" t="s">
        <v>275</v>
      </c>
      <c r="E4" s="21" t="s">
        <v>41</v>
      </c>
      <c r="F4" s="21" t="s">
        <v>214</v>
      </c>
      <c r="G4" s="21"/>
      <c r="H4" s="21"/>
      <c r="I4" s="22" t="s">
        <v>12</v>
      </c>
      <c r="J4" s="21" t="s">
        <v>418</v>
      </c>
      <c r="K4" s="21" t="s">
        <v>419</v>
      </c>
    </row>
    <row r="5" customFormat="false" ht="15" hidden="false" customHeight="false" outlineLevel="0" collapsed="false">
      <c r="A5" s="20" t="s">
        <v>56</v>
      </c>
      <c r="B5" s="21" t="s">
        <v>420</v>
      </c>
      <c r="C5" s="21" t="s">
        <v>212</v>
      </c>
      <c r="D5" s="21" t="s">
        <v>275</v>
      </c>
      <c r="E5" s="21" t="s">
        <v>10</v>
      </c>
      <c r="F5" s="21" t="s">
        <v>214</v>
      </c>
      <c r="G5" s="21"/>
      <c r="H5" s="21"/>
      <c r="I5" s="22" t="s">
        <v>12</v>
      </c>
      <c r="J5" s="21" t="s">
        <v>418</v>
      </c>
      <c r="K5" s="21" t="s">
        <v>421</v>
      </c>
    </row>
    <row r="6" customFormat="false" ht="15" hidden="false" customHeight="false" outlineLevel="0" collapsed="false">
      <c r="A6" s="20" t="s">
        <v>56</v>
      </c>
      <c r="B6" s="21" t="s">
        <v>422</v>
      </c>
      <c r="C6" s="21" t="s">
        <v>212</v>
      </c>
      <c r="D6" s="21" t="s">
        <v>275</v>
      </c>
      <c r="E6" s="21" t="s">
        <v>28</v>
      </c>
      <c r="F6" s="21" t="s">
        <v>214</v>
      </c>
      <c r="G6" s="21"/>
      <c r="H6" s="21"/>
      <c r="I6" s="22" t="s">
        <v>12</v>
      </c>
      <c r="J6" s="21" t="s">
        <v>418</v>
      </c>
      <c r="K6" s="21"/>
    </row>
    <row r="7" customFormat="false" ht="23.85" hidden="false" customHeight="false" outlineLevel="0" collapsed="false">
      <c r="A7" s="20" t="s">
        <v>56</v>
      </c>
      <c r="B7" s="21" t="s">
        <v>423</v>
      </c>
      <c r="C7" s="21" t="s">
        <v>212</v>
      </c>
      <c r="D7" s="21" t="s">
        <v>275</v>
      </c>
      <c r="E7" s="21" t="s">
        <v>47</v>
      </c>
      <c r="F7" s="21" t="s">
        <v>214</v>
      </c>
      <c r="G7" s="21"/>
      <c r="H7" s="21"/>
      <c r="I7" s="22" t="s">
        <v>12</v>
      </c>
      <c r="J7" s="21" t="s">
        <v>424</v>
      </c>
      <c r="K7" s="21" t="s">
        <v>425</v>
      </c>
    </row>
    <row r="8" customFormat="false" ht="15" hidden="false" customHeight="false" outlineLevel="0" collapsed="false">
      <c r="A8" s="20" t="s">
        <v>56</v>
      </c>
      <c r="B8" s="21" t="s">
        <v>405</v>
      </c>
      <c r="C8" s="21" t="s">
        <v>262</v>
      </c>
      <c r="D8" s="21"/>
      <c r="E8" s="21"/>
      <c r="F8" s="21" t="s">
        <v>214</v>
      </c>
      <c r="G8" s="21"/>
      <c r="H8" s="21"/>
      <c r="I8" s="22" t="s">
        <v>12</v>
      </c>
      <c r="J8" s="21" t="s">
        <v>426</v>
      </c>
      <c r="K8" s="21" t="s">
        <v>427</v>
      </c>
    </row>
    <row r="9" customFormat="false" ht="15" hidden="false" customHeight="false" outlineLevel="0" collapsed="false">
      <c r="A9" s="20" t="s">
        <v>56</v>
      </c>
      <c r="B9" s="21" t="s">
        <v>406</v>
      </c>
      <c r="C9" s="21" t="s">
        <v>262</v>
      </c>
      <c r="D9" s="21"/>
      <c r="E9" s="21"/>
      <c r="F9" s="21" t="s">
        <v>214</v>
      </c>
      <c r="G9" s="21"/>
      <c r="H9" s="21"/>
      <c r="I9" s="22" t="s">
        <v>12</v>
      </c>
      <c r="J9" s="21" t="s">
        <v>428</v>
      </c>
      <c r="K9" s="21"/>
    </row>
    <row r="10" customFormat="false" ht="15" hidden="false" customHeight="false" outlineLevel="0" collapsed="false">
      <c r="A10" s="20" t="s">
        <v>56</v>
      </c>
      <c r="B10" s="21" t="s">
        <v>429</v>
      </c>
      <c r="C10" s="21" t="s">
        <v>262</v>
      </c>
      <c r="D10" s="21"/>
      <c r="E10" s="21"/>
      <c r="F10" s="21" t="s">
        <v>226</v>
      </c>
      <c r="G10" s="21"/>
      <c r="H10" s="21"/>
      <c r="I10" s="22" t="s">
        <v>12</v>
      </c>
      <c r="J10" s="21" t="s">
        <v>430</v>
      </c>
      <c r="K10" s="21" t="s">
        <v>431</v>
      </c>
    </row>
    <row r="11" customFormat="false" ht="23.85" hidden="false" customHeight="false" outlineLevel="0" collapsed="false">
      <c r="A11" s="20" t="s">
        <v>56</v>
      </c>
      <c r="B11" s="21" t="s">
        <v>432</v>
      </c>
      <c r="C11" s="21" t="s">
        <v>262</v>
      </c>
      <c r="D11" s="21"/>
      <c r="E11" s="21"/>
      <c r="F11" s="21" t="s">
        <v>226</v>
      </c>
      <c r="G11" s="21"/>
      <c r="H11" s="21"/>
      <c r="I11" s="22" t="s">
        <v>12</v>
      </c>
      <c r="J11" s="21" t="s">
        <v>433</v>
      </c>
      <c r="K11" s="21" t="s">
        <v>434</v>
      </c>
    </row>
    <row r="12" customFormat="false" ht="35.05" hidden="false" customHeight="false" outlineLevel="0" collapsed="false">
      <c r="A12" s="20" t="s">
        <v>56</v>
      </c>
      <c r="B12" s="21" t="s">
        <v>325</v>
      </c>
      <c r="C12" s="21" t="s">
        <v>233</v>
      </c>
      <c r="D12" s="21"/>
      <c r="E12" s="21"/>
      <c r="F12" s="21" t="s">
        <v>214</v>
      </c>
      <c r="G12" s="21"/>
      <c r="H12" s="21" t="s">
        <v>435</v>
      </c>
      <c r="I12" s="22" t="s">
        <v>12</v>
      </c>
      <c r="J12" s="21" t="s">
        <v>436</v>
      </c>
      <c r="K12" s="21" t="s">
        <v>437</v>
      </c>
    </row>
    <row r="13" customFormat="false" ht="23.85" hidden="false" customHeight="false" outlineLevel="0" collapsed="false">
      <c r="A13" s="20" t="s">
        <v>56</v>
      </c>
      <c r="B13" s="21" t="s">
        <v>438</v>
      </c>
      <c r="C13" s="21" t="s">
        <v>291</v>
      </c>
      <c r="D13" s="21"/>
      <c r="E13" s="21"/>
      <c r="F13" s="21" t="s">
        <v>214</v>
      </c>
      <c r="G13" s="21"/>
      <c r="H13" s="21"/>
      <c r="I13" s="22" t="s">
        <v>12</v>
      </c>
      <c r="J13" s="21" t="s">
        <v>439</v>
      </c>
      <c r="K13" s="21" t="s">
        <v>440</v>
      </c>
    </row>
    <row r="14" customFormat="false" ht="15" hidden="false" customHeight="false" outlineLevel="0" collapsed="false">
      <c r="A14" s="20" t="s">
        <v>56</v>
      </c>
      <c r="B14" s="21" t="s">
        <v>441</v>
      </c>
      <c r="C14" s="21" t="s">
        <v>391</v>
      </c>
      <c r="D14" s="21"/>
      <c r="E14" s="21"/>
      <c r="F14" s="21" t="s">
        <v>214</v>
      </c>
      <c r="G14" s="21"/>
      <c r="H14" s="21"/>
      <c r="I14" s="22" t="s">
        <v>12</v>
      </c>
      <c r="J14" s="21" t="s">
        <v>442</v>
      </c>
      <c r="K14" s="21" t="s">
        <v>443</v>
      </c>
    </row>
    <row r="15" customFormat="false" ht="15" hidden="false" customHeight="false" outlineLevel="0" collapsed="false">
      <c r="A15" s="20" t="s">
        <v>56</v>
      </c>
      <c r="B15" s="21" t="s">
        <v>444</v>
      </c>
      <c r="C15" s="21" t="s">
        <v>391</v>
      </c>
      <c r="D15" s="21"/>
      <c r="E15" s="21"/>
      <c r="F15" s="21" t="s">
        <v>214</v>
      </c>
      <c r="G15" s="21"/>
      <c r="H15" s="21"/>
      <c r="I15" s="22" t="s">
        <v>12</v>
      </c>
      <c r="J15" s="21" t="s">
        <v>418</v>
      </c>
      <c r="K15" s="21" t="s">
        <v>445</v>
      </c>
    </row>
    <row r="16" customFormat="false" ht="23.85" hidden="false" customHeight="false" outlineLevel="0" collapsed="false">
      <c r="A16" s="20" t="s">
        <v>56</v>
      </c>
      <c r="B16" s="21" t="s">
        <v>446</v>
      </c>
      <c r="C16" s="21" t="s">
        <v>391</v>
      </c>
      <c r="D16" s="21"/>
      <c r="E16" s="21"/>
      <c r="F16" s="21" t="s">
        <v>226</v>
      </c>
      <c r="G16" s="21"/>
      <c r="H16" s="21"/>
      <c r="I16" s="22" t="s">
        <v>12</v>
      </c>
      <c r="J16" s="21" t="s">
        <v>447</v>
      </c>
      <c r="K16" s="21" t="s">
        <v>448</v>
      </c>
    </row>
    <row r="17" customFormat="false" ht="15" hidden="false" customHeight="false" outlineLevel="0" collapsed="false">
      <c r="A17" s="20" t="s">
        <v>56</v>
      </c>
      <c r="B17" s="21" t="s">
        <v>449</v>
      </c>
      <c r="C17" s="21" t="s">
        <v>391</v>
      </c>
      <c r="D17" s="21"/>
      <c r="E17" s="21"/>
      <c r="F17" s="21" t="s">
        <v>214</v>
      </c>
      <c r="G17" s="21"/>
      <c r="H17" s="21"/>
      <c r="I17" s="22" t="s">
        <v>12</v>
      </c>
      <c r="J17" s="21" t="s">
        <v>450</v>
      </c>
      <c r="K17" s="21" t="s">
        <v>451</v>
      </c>
    </row>
    <row r="18" customFormat="false" ht="23.85" hidden="false" customHeight="false" outlineLevel="0" collapsed="false">
      <c r="A18" s="20" t="s">
        <v>56</v>
      </c>
      <c r="B18" s="21" t="s">
        <v>280</v>
      </c>
      <c r="C18" s="21" t="s">
        <v>262</v>
      </c>
      <c r="D18" s="21"/>
      <c r="E18" s="21"/>
      <c r="F18" s="21" t="s">
        <v>226</v>
      </c>
      <c r="G18" s="21"/>
      <c r="H18" s="21"/>
      <c r="I18" s="22" t="s">
        <v>12</v>
      </c>
      <c r="J18" s="21" t="s">
        <v>452</v>
      </c>
      <c r="K18" s="21" t="s">
        <v>453</v>
      </c>
    </row>
    <row r="19" customFormat="false" ht="15" hidden="false" customHeight="false" outlineLevel="0" collapsed="false">
      <c r="A19" s="20" t="s">
        <v>56</v>
      </c>
      <c r="B19" s="21" t="s">
        <v>454</v>
      </c>
      <c r="C19" s="21" t="s">
        <v>262</v>
      </c>
      <c r="D19" s="21"/>
      <c r="E19" s="21"/>
      <c r="F19" s="21" t="s">
        <v>226</v>
      </c>
      <c r="G19" s="21"/>
      <c r="H19" s="21"/>
      <c r="I19" s="22" t="s">
        <v>12</v>
      </c>
      <c r="J19" s="21" t="s">
        <v>455</v>
      </c>
      <c r="K19" s="21" t="s">
        <v>456</v>
      </c>
    </row>
    <row r="20" customFormat="false" ht="15" hidden="false" customHeight="false" outlineLevel="0" collapsed="false">
      <c r="A20" s="20" t="s">
        <v>56</v>
      </c>
      <c r="B20" s="21" t="s">
        <v>457</v>
      </c>
      <c r="C20" s="21" t="s">
        <v>262</v>
      </c>
      <c r="D20" s="21"/>
      <c r="E20" s="21"/>
      <c r="F20" s="21" t="s">
        <v>226</v>
      </c>
      <c r="G20" s="21"/>
      <c r="H20" s="21"/>
      <c r="I20" s="22" t="s">
        <v>12</v>
      </c>
      <c r="J20" s="21" t="s">
        <v>458</v>
      </c>
      <c r="K20" s="21"/>
    </row>
    <row r="21" customFormat="false" ht="15" hidden="false" customHeight="false" outlineLevel="0" collapsed="false">
      <c r="A21" s="20" t="s">
        <v>56</v>
      </c>
      <c r="B21" s="21" t="s">
        <v>459</v>
      </c>
      <c r="C21" s="21" t="s">
        <v>212</v>
      </c>
      <c r="D21" s="21" t="s">
        <v>275</v>
      </c>
      <c r="E21" s="21" t="s">
        <v>10</v>
      </c>
      <c r="F21" s="21" t="s">
        <v>226</v>
      </c>
      <c r="G21" s="21"/>
      <c r="H21" s="21"/>
      <c r="I21" s="22" t="s">
        <v>12</v>
      </c>
      <c r="J21" s="21" t="s">
        <v>458</v>
      </c>
      <c r="K21" s="21" t="s">
        <v>460</v>
      </c>
    </row>
    <row r="22" customFormat="false" ht="15" hidden="false" customHeight="false" outlineLevel="0" collapsed="false">
      <c r="A22" s="20" t="s">
        <v>56</v>
      </c>
      <c r="B22" s="21" t="s">
        <v>461</v>
      </c>
      <c r="C22" s="21" t="s">
        <v>337</v>
      </c>
      <c r="D22" s="21"/>
      <c r="E22" s="21"/>
      <c r="F22" s="21" t="s">
        <v>226</v>
      </c>
      <c r="G22" s="21"/>
      <c r="H22" s="21"/>
      <c r="I22" s="22" t="s">
        <v>12</v>
      </c>
      <c r="J22" s="21" t="s">
        <v>458</v>
      </c>
      <c r="K22" s="21"/>
    </row>
    <row r="23" customFormat="false" ht="15" hidden="false" customHeight="false" outlineLevel="0" collapsed="false">
      <c r="A23" s="20" t="s">
        <v>56</v>
      </c>
      <c r="B23" s="21" t="s">
        <v>462</v>
      </c>
      <c r="C23" s="21" t="s">
        <v>391</v>
      </c>
      <c r="D23" s="21"/>
      <c r="E23" s="21"/>
      <c r="F23" s="21" t="s">
        <v>226</v>
      </c>
      <c r="G23" s="21"/>
      <c r="H23" s="21"/>
      <c r="I23" s="22" t="s">
        <v>12</v>
      </c>
      <c r="J23" s="21" t="s">
        <v>458</v>
      </c>
      <c r="K23" s="21" t="s">
        <v>463</v>
      </c>
    </row>
    <row r="24" customFormat="false" ht="15" hidden="false" customHeight="false" outlineLevel="0" collapsed="false">
      <c r="A24" s="20" t="s">
        <v>56</v>
      </c>
      <c r="B24" s="21" t="s">
        <v>464</v>
      </c>
      <c r="C24" s="21" t="s">
        <v>465</v>
      </c>
      <c r="D24" s="21"/>
      <c r="E24" s="21"/>
      <c r="F24" s="21" t="s">
        <v>226</v>
      </c>
      <c r="G24" s="21"/>
      <c r="H24" s="21"/>
      <c r="I24" s="22" t="s">
        <v>12</v>
      </c>
      <c r="J24" s="21" t="s">
        <v>450</v>
      </c>
      <c r="K24" s="21"/>
    </row>
    <row r="25" customFormat="false" ht="15" hidden="false" customHeight="false" outlineLevel="0" collapsed="false">
      <c r="A25" s="20" t="s">
        <v>56</v>
      </c>
      <c r="B25" s="21" t="s">
        <v>287</v>
      </c>
      <c r="C25" s="21" t="s">
        <v>262</v>
      </c>
      <c r="D25" s="21"/>
      <c r="E25" s="21"/>
      <c r="F25" s="21" t="s">
        <v>214</v>
      </c>
      <c r="G25" s="21"/>
      <c r="H25" s="21" t="s">
        <v>270</v>
      </c>
      <c r="I25" s="22" t="s">
        <v>12</v>
      </c>
      <c r="J25" s="21"/>
      <c r="K25" s="21"/>
    </row>
    <row r="26" customFormat="false" ht="23.85" hidden="false" customHeight="false" outlineLevel="0" collapsed="false">
      <c r="A26" s="17" t="s">
        <v>60</v>
      </c>
      <c r="B26" s="17" t="s">
        <v>211</v>
      </c>
      <c r="C26" s="18" t="s">
        <v>212</v>
      </c>
      <c r="D26" s="18" t="s">
        <v>213</v>
      </c>
      <c r="E26" s="18"/>
      <c r="F26" s="18" t="s">
        <v>214</v>
      </c>
      <c r="G26" s="18"/>
      <c r="H26" s="18" t="s">
        <v>215</v>
      </c>
      <c r="I26" s="19" t="s">
        <v>12</v>
      </c>
      <c r="J26" s="18"/>
      <c r="K26" s="18" t="s">
        <v>216</v>
      </c>
    </row>
    <row r="27" customFormat="false" ht="15" hidden="false" customHeight="false" outlineLevel="0" collapsed="false">
      <c r="A27" s="20" t="s">
        <v>60</v>
      </c>
      <c r="B27" s="21" t="s">
        <v>466</v>
      </c>
      <c r="C27" s="21" t="s">
        <v>212</v>
      </c>
      <c r="D27" s="21" t="s">
        <v>275</v>
      </c>
      <c r="E27" s="21" t="s">
        <v>56</v>
      </c>
      <c r="F27" s="21" t="s">
        <v>214</v>
      </c>
      <c r="G27" s="21"/>
      <c r="H27" s="21"/>
      <c r="I27" s="22" t="s">
        <v>12</v>
      </c>
      <c r="J27" s="21"/>
      <c r="K27" s="21"/>
    </row>
    <row r="28" customFormat="false" ht="23.85" hidden="false" customHeight="false" outlineLevel="0" collapsed="false">
      <c r="A28" s="20" t="s">
        <v>60</v>
      </c>
      <c r="B28" s="21" t="s">
        <v>467</v>
      </c>
      <c r="C28" s="21" t="s">
        <v>291</v>
      </c>
      <c r="D28" s="21"/>
      <c r="E28" s="21"/>
      <c r="F28" s="21" t="s">
        <v>214</v>
      </c>
      <c r="G28" s="21" t="s">
        <v>214</v>
      </c>
      <c r="H28" s="21"/>
      <c r="I28" s="22" t="s">
        <v>12</v>
      </c>
      <c r="J28" s="21"/>
      <c r="K28" s="21" t="s">
        <v>468</v>
      </c>
    </row>
    <row r="29" customFormat="false" ht="15" hidden="false" customHeight="false" outlineLevel="0" collapsed="false">
      <c r="A29" s="20" t="s">
        <v>60</v>
      </c>
      <c r="B29" s="21" t="s">
        <v>276</v>
      </c>
      <c r="C29" s="21" t="s">
        <v>291</v>
      </c>
      <c r="D29" s="21"/>
      <c r="E29" s="21"/>
      <c r="F29" s="21" t="s">
        <v>214</v>
      </c>
      <c r="G29" s="21"/>
      <c r="H29" s="21"/>
      <c r="I29" s="22" t="s">
        <v>12</v>
      </c>
      <c r="J29" s="21"/>
      <c r="K29" s="21" t="s">
        <v>469</v>
      </c>
    </row>
    <row r="30" customFormat="false" ht="15" hidden="false" customHeight="false" outlineLevel="0" collapsed="false">
      <c r="A30" s="20" t="s">
        <v>60</v>
      </c>
      <c r="B30" s="21" t="s">
        <v>470</v>
      </c>
      <c r="C30" s="21" t="s">
        <v>262</v>
      </c>
      <c r="D30" s="21"/>
      <c r="E30" s="21"/>
      <c r="F30" s="21" t="s">
        <v>214</v>
      </c>
      <c r="G30" s="21"/>
      <c r="H30" s="21" t="s">
        <v>270</v>
      </c>
      <c r="I30" s="22" t="s">
        <v>12</v>
      </c>
      <c r="J30" s="21"/>
      <c r="K30" s="21"/>
    </row>
    <row r="31" customFormat="false" ht="15" hidden="false" customHeight="false" outlineLevel="0" collapsed="false">
      <c r="A31" s="20" t="s">
        <v>60</v>
      </c>
      <c r="B31" s="21" t="s">
        <v>471</v>
      </c>
      <c r="C31" s="21" t="s">
        <v>262</v>
      </c>
      <c r="D31" s="21"/>
      <c r="E31" s="21"/>
      <c r="F31" s="21" t="s">
        <v>214</v>
      </c>
      <c r="G31" s="21"/>
      <c r="H31" s="21"/>
      <c r="I31" s="22" t="s">
        <v>12</v>
      </c>
      <c r="J31" s="21"/>
      <c r="K31" s="21" t="s">
        <v>472</v>
      </c>
    </row>
    <row r="32" customFormat="false" ht="15" hidden="false" customHeight="false" outlineLevel="0" collapsed="false">
      <c r="A32" s="20" t="s">
        <v>60</v>
      </c>
      <c r="B32" s="21" t="s">
        <v>282</v>
      </c>
      <c r="C32" s="21" t="s">
        <v>244</v>
      </c>
      <c r="D32" s="21"/>
      <c r="E32" s="21"/>
      <c r="F32" s="21" t="s">
        <v>214</v>
      </c>
      <c r="G32" s="21"/>
      <c r="H32" s="21" t="s">
        <v>245</v>
      </c>
      <c r="I32" s="22" t="s">
        <v>12</v>
      </c>
      <c r="J32" s="21"/>
      <c r="K32" s="21"/>
    </row>
    <row r="33" customFormat="false" ht="15" hidden="false" customHeight="false" outlineLevel="0" collapsed="false">
      <c r="A33" s="20" t="s">
        <v>60</v>
      </c>
      <c r="B33" s="21" t="s">
        <v>473</v>
      </c>
      <c r="C33" s="21" t="s">
        <v>262</v>
      </c>
      <c r="D33" s="21"/>
      <c r="E33" s="21"/>
      <c r="F33" s="21" t="s">
        <v>226</v>
      </c>
      <c r="G33" s="21"/>
      <c r="H33" s="21"/>
      <c r="I33" s="22" t="s">
        <v>12</v>
      </c>
      <c r="J33" s="21"/>
      <c r="K33" s="21"/>
    </row>
    <row r="34" customFormat="false" ht="23.85" hidden="false" customHeight="false" outlineLevel="0" collapsed="false">
      <c r="A34" s="17" t="s">
        <v>63</v>
      </c>
      <c r="B34" s="17" t="s">
        <v>211</v>
      </c>
      <c r="C34" s="18" t="s">
        <v>212</v>
      </c>
      <c r="D34" s="18" t="s">
        <v>213</v>
      </c>
      <c r="E34" s="18"/>
      <c r="F34" s="18" t="s">
        <v>214</v>
      </c>
      <c r="G34" s="18"/>
      <c r="H34" s="18" t="s">
        <v>215</v>
      </c>
      <c r="I34" s="24" t="s">
        <v>25</v>
      </c>
      <c r="J34" s="18"/>
      <c r="K34" s="18" t="s">
        <v>216</v>
      </c>
    </row>
    <row r="35" customFormat="false" ht="15" hidden="false" customHeight="false" outlineLevel="0" collapsed="false">
      <c r="A35" s="20" t="s">
        <v>63</v>
      </c>
      <c r="B35" s="21" t="s">
        <v>466</v>
      </c>
      <c r="C35" s="21" t="s">
        <v>212</v>
      </c>
      <c r="D35" s="21" t="s">
        <v>275</v>
      </c>
      <c r="E35" s="21" t="s">
        <v>56</v>
      </c>
      <c r="F35" s="21" t="s">
        <v>214</v>
      </c>
      <c r="G35" s="21"/>
      <c r="H35" s="21"/>
      <c r="I35" s="23" t="s">
        <v>25</v>
      </c>
      <c r="J35" s="21"/>
      <c r="K35" s="21"/>
    </row>
    <row r="36" customFormat="false" ht="15" hidden="false" customHeight="false" outlineLevel="0" collapsed="false">
      <c r="A36" s="20" t="s">
        <v>63</v>
      </c>
      <c r="B36" s="21" t="s">
        <v>474</v>
      </c>
      <c r="C36" s="21" t="s">
        <v>262</v>
      </c>
      <c r="D36" s="21"/>
      <c r="E36" s="21"/>
      <c r="F36" s="21" t="s">
        <v>214</v>
      </c>
      <c r="G36" s="21"/>
      <c r="H36" s="21"/>
      <c r="I36" s="23" t="s">
        <v>25</v>
      </c>
      <c r="J36" s="21"/>
      <c r="K36" s="21"/>
    </row>
    <row r="37" customFormat="false" ht="15" hidden="false" customHeight="false" outlineLevel="0" collapsed="false">
      <c r="A37" s="20" t="s">
        <v>63</v>
      </c>
      <c r="B37" s="21" t="s">
        <v>475</v>
      </c>
      <c r="C37" s="21" t="s">
        <v>262</v>
      </c>
      <c r="D37" s="21"/>
      <c r="E37" s="21"/>
      <c r="F37" s="21" t="s">
        <v>214</v>
      </c>
      <c r="G37" s="21"/>
      <c r="H37" s="21"/>
      <c r="I37" s="23" t="s">
        <v>25</v>
      </c>
      <c r="J37" s="21"/>
      <c r="K37" s="21" t="s">
        <v>476</v>
      </c>
    </row>
    <row r="38" customFormat="false" ht="15" hidden="false" customHeight="false" outlineLevel="0" collapsed="false">
      <c r="A38" s="20" t="s">
        <v>63</v>
      </c>
      <c r="B38" s="21" t="s">
        <v>477</v>
      </c>
      <c r="C38" s="21" t="s">
        <v>391</v>
      </c>
      <c r="D38" s="21"/>
      <c r="E38" s="21"/>
      <c r="F38" s="21" t="s">
        <v>214</v>
      </c>
      <c r="G38" s="21"/>
      <c r="H38" s="21"/>
      <c r="I38" s="23" t="s">
        <v>25</v>
      </c>
      <c r="J38" s="21"/>
      <c r="K38" s="21"/>
    </row>
    <row r="39" customFormat="false" ht="15" hidden="false" customHeight="false" outlineLevel="0" collapsed="false">
      <c r="A39" s="20" t="s">
        <v>63</v>
      </c>
      <c r="B39" s="21" t="s">
        <v>328</v>
      </c>
      <c r="C39" s="21" t="s">
        <v>262</v>
      </c>
      <c r="D39" s="21"/>
      <c r="E39" s="21"/>
      <c r="F39" s="21" t="s">
        <v>214</v>
      </c>
      <c r="G39" s="21"/>
      <c r="H39" s="21" t="s">
        <v>270</v>
      </c>
      <c r="I39" s="23" t="s">
        <v>25</v>
      </c>
      <c r="J39" s="21"/>
      <c r="K39" s="21"/>
    </row>
    <row r="40" customFormat="false" ht="15" hidden="false" customHeight="false" outlineLevel="0" collapsed="false">
      <c r="A40" s="17" t="s">
        <v>66</v>
      </c>
      <c r="B40" s="17" t="s">
        <v>274</v>
      </c>
      <c r="C40" s="18" t="s">
        <v>212</v>
      </c>
      <c r="D40" s="18" t="s">
        <v>478</v>
      </c>
      <c r="E40" s="18" t="s">
        <v>10</v>
      </c>
      <c r="F40" s="18" t="s">
        <v>214</v>
      </c>
      <c r="G40" s="18"/>
      <c r="H40" s="18"/>
      <c r="I40" s="25" t="s">
        <v>67</v>
      </c>
      <c r="J40" s="18"/>
      <c r="K40" s="18"/>
    </row>
    <row r="41" customFormat="false" ht="15" hidden="false" customHeight="false" outlineLevel="0" collapsed="false">
      <c r="A41" s="20" t="s">
        <v>66</v>
      </c>
      <c r="B41" s="20" t="s">
        <v>366</v>
      </c>
      <c r="C41" s="21" t="s">
        <v>212</v>
      </c>
      <c r="D41" s="21" t="s">
        <v>478</v>
      </c>
      <c r="E41" s="21" t="s">
        <v>34</v>
      </c>
      <c r="F41" s="21" t="s">
        <v>214</v>
      </c>
      <c r="G41" s="21"/>
      <c r="H41" s="21"/>
      <c r="I41" s="26" t="s">
        <v>67</v>
      </c>
      <c r="J41" s="21"/>
      <c r="K41" s="21"/>
    </row>
    <row r="42" customFormat="false" ht="15" hidden="false" customHeight="false" outlineLevel="0" collapsed="false">
      <c r="A42" s="20" t="s">
        <v>66</v>
      </c>
      <c r="B42" s="21" t="s">
        <v>479</v>
      </c>
      <c r="C42" s="21" t="s">
        <v>262</v>
      </c>
      <c r="D42" s="21"/>
      <c r="E42" s="21"/>
      <c r="F42" s="21" t="s">
        <v>214</v>
      </c>
      <c r="G42" s="21"/>
      <c r="H42" s="21" t="s">
        <v>270</v>
      </c>
      <c r="I42" s="26" t="s">
        <v>67</v>
      </c>
      <c r="J42" s="21"/>
      <c r="K42" s="21"/>
    </row>
  </sheetData>
  <autoFilter ref="A1:K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9" min="9" style="0" width="8"/>
    <col collapsed="false" customWidth="true" hidden="false" outlineLevel="0" max="10" min="10" style="0" width="18"/>
    <col collapsed="false" customWidth="true" hidden="false" outlineLevel="0" max="11" min="11" style="0" width="80"/>
  </cols>
  <sheetData>
    <row r="1" customFormat="false" ht="23.85" hidden="false" customHeight="false" outlineLevel="0" collapsed="false">
      <c r="A1" s="3" t="s">
        <v>3</v>
      </c>
      <c r="B1" s="3" t="s">
        <v>202</v>
      </c>
      <c r="C1" s="3" t="s">
        <v>203</v>
      </c>
      <c r="D1" s="3" t="s">
        <v>204</v>
      </c>
      <c r="E1" s="3" t="s">
        <v>205</v>
      </c>
      <c r="F1" s="3" t="s">
        <v>206</v>
      </c>
      <c r="G1" s="3" t="s">
        <v>207</v>
      </c>
      <c r="H1" s="3" t="s">
        <v>208</v>
      </c>
      <c r="I1" s="3" t="s">
        <v>5</v>
      </c>
      <c r="J1" s="3" t="s">
        <v>209</v>
      </c>
      <c r="K1" s="3" t="s">
        <v>210</v>
      </c>
    </row>
    <row r="2" customFormat="false" ht="23.85" hidden="false" customHeight="false" outlineLevel="0" collapsed="false">
      <c r="A2" s="17" t="s">
        <v>70</v>
      </c>
      <c r="B2" s="17" t="s">
        <v>211</v>
      </c>
      <c r="C2" s="18" t="s">
        <v>212</v>
      </c>
      <c r="D2" s="18" t="s">
        <v>213</v>
      </c>
      <c r="E2" s="18"/>
      <c r="F2" s="18" t="s">
        <v>214</v>
      </c>
      <c r="G2" s="18"/>
      <c r="H2" s="18" t="s">
        <v>215</v>
      </c>
      <c r="I2" s="19" t="s">
        <v>12</v>
      </c>
      <c r="J2" s="18"/>
      <c r="K2" s="18" t="s">
        <v>216</v>
      </c>
    </row>
    <row r="3" customFormat="false" ht="15" hidden="false" customHeight="false" outlineLevel="0" collapsed="false">
      <c r="A3" s="20" t="s">
        <v>70</v>
      </c>
      <c r="B3" s="21" t="s">
        <v>466</v>
      </c>
      <c r="C3" s="21" t="s">
        <v>212</v>
      </c>
      <c r="D3" s="21" t="s">
        <v>275</v>
      </c>
      <c r="E3" s="21" t="s">
        <v>56</v>
      </c>
      <c r="F3" s="21" t="s">
        <v>214</v>
      </c>
      <c r="G3" s="21"/>
      <c r="H3" s="21"/>
      <c r="I3" s="22" t="s">
        <v>12</v>
      </c>
      <c r="J3" s="21" t="s">
        <v>480</v>
      </c>
      <c r="K3" s="21" t="s">
        <v>481</v>
      </c>
    </row>
    <row r="4" customFormat="false" ht="15" hidden="false" customHeight="false" outlineLevel="0" collapsed="false">
      <c r="A4" s="20" t="s">
        <v>70</v>
      </c>
      <c r="B4" s="21" t="s">
        <v>482</v>
      </c>
      <c r="C4" s="21" t="s">
        <v>212</v>
      </c>
      <c r="D4" s="21" t="s">
        <v>275</v>
      </c>
      <c r="E4" s="21" t="s">
        <v>86</v>
      </c>
      <c r="F4" s="21" t="s">
        <v>226</v>
      </c>
      <c r="G4" s="21"/>
      <c r="H4" s="21"/>
      <c r="I4" s="23" t="s">
        <v>25</v>
      </c>
      <c r="J4" s="21" t="s">
        <v>483</v>
      </c>
      <c r="K4" s="21" t="s">
        <v>484</v>
      </c>
    </row>
    <row r="5" customFormat="false" ht="15" hidden="false" customHeight="false" outlineLevel="0" collapsed="false">
      <c r="A5" s="20" t="s">
        <v>70</v>
      </c>
      <c r="B5" s="21" t="s">
        <v>485</v>
      </c>
      <c r="C5" s="21" t="s">
        <v>212</v>
      </c>
      <c r="D5" s="21" t="s">
        <v>275</v>
      </c>
      <c r="E5" s="21" t="s">
        <v>74</v>
      </c>
      <c r="F5" s="21" t="s">
        <v>214</v>
      </c>
      <c r="G5" s="21"/>
      <c r="H5" s="21"/>
      <c r="I5" s="22" t="s">
        <v>12</v>
      </c>
      <c r="J5" s="21" t="s">
        <v>486</v>
      </c>
      <c r="K5" s="21" t="s">
        <v>487</v>
      </c>
    </row>
    <row r="6" customFormat="false" ht="23.85" hidden="false" customHeight="false" outlineLevel="0" collapsed="false">
      <c r="A6" s="20" t="s">
        <v>70</v>
      </c>
      <c r="B6" s="21" t="s">
        <v>488</v>
      </c>
      <c r="C6" s="21" t="s">
        <v>230</v>
      </c>
      <c r="D6" s="21"/>
      <c r="E6" s="21"/>
      <c r="F6" s="21" t="s">
        <v>214</v>
      </c>
      <c r="G6" s="21"/>
      <c r="H6" s="21"/>
      <c r="I6" s="22" t="s">
        <v>12</v>
      </c>
      <c r="J6" s="21" t="s">
        <v>489</v>
      </c>
      <c r="K6" s="21" t="s">
        <v>490</v>
      </c>
    </row>
    <row r="7" customFormat="false" ht="23.85" hidden="false" customHeight="false" outlineLevel="0" collapsed="false">
      <c r="A7" s="20" t="s">
        <v>70</v>
      </c>
      <c r="B7" s="21" t="s">
        <v>491</v>
      </c>
      <c r="C7" s="21" t="s">
        <v>391</v>
      </c>
      <c r="D7" s="21"/>
      <c r="E7" s="21"/>
      <c r="F7" s="21" t="s">
        <v>214</v>
      </c>
      <c r="G7" s="21"/>
      <c r="H7" s="21"/>
      <c r="I7" s="22" t="s">
        <v>12</v>
      </c>
      <c r="J7" s="21" t="s">
        <v>492</v>
      </c>
      <c r="K7" s="21" t="s">
        <v>493</v>
      </c>
    </row>
    <row r="8" customFormat="false" ht="15" hidden="false" customHeight="false" outlineLevel="0" collapsed="false">
      <c r="A8" s="20" t="s">
        <v>70</v>
      </c>
      <c r="B8" s="21" t="s">
        <v>494</v>
      </c>
      <c r="C8" s="21" t="s">
        <v>391</v>
      </c>
      <c r="D8" s="21"/>
      <c r="E8" s="21"/>
      <c r="F8" s="21" t="s">
        <v>214</v>
      </c>
      <c r="G8" s="21"/>
      <c r="H8" s="21"/>
      <c r="I8" s="22" t="s">
        <v>12</v>
      </c>
      <c r="J8" s="21" t="s">
        <v>495</v>
      </c>
      <c r="K8" s="21"/>
    </row>
    <row r="9" customFormat="false" ht="15" hidden="false" customHeight="false" outlineLevel="0" collapsed="false">
      <c r="A9" s="20" t="s">
        <v>70</v>
      </c>
      <c r="B9" s="21" t="s">
        <v>496</v>
      </c>
      <c r="C9" s="21" t="s">
        <v>391</v>
      </c>
      <c r="D9" s="21"/>
      <c r="E9" s="21"/>
      <c r="F9" s="21" t="s">
        <v>214</v>
      </c>
      <c r="G9" s="21"/>
      <c r="H9" s="21"/>
      <c r="I9" s="22" t="s">
        <v>12</v>
      </c>
      <c r="J9" s="21" t="s">
        <v>497</v>
      </c>
      <c r="K9" s="21"/>
    </row>
    <row r="10" customFormat="false" ht="15" hidden="false" customHeight="false" outlineLevel="0" collapsed="false">
      <c r="A10" s="20" t="s">
        <v>70</v>
      </c>
      <c r="B10" s="21" t="s">
        <v>498</v>
      </c>
      <c r="C10" s="21" t="s">
        <v>499</v>
      </c>
      <c r="D10" s="21"/>
      <c r="E10" s="21"/>
      <c r="F10" s="21" t="s">
        <v>214</v>
      </c>
      <c r="G10" s="21"/>
      <c r="H10" s="21"/>
      <c r="I10" s="22" t="s">
        <v>12</v>
      </c>
      <c r="J10" s="21" t="s">
        <v>500</v>
      </c>
      <c r="K10" s="21" t="s">
        <v>501</v>
      </c>
    </row>
    <row r="11" customFormat="false" ht="23.85" hidden="false" customHeight="false" outlineLevel="0" collapsed="false">
      <c r="A11" s="20" t="s">
        <v>70</v>
      </c>
      <c r="B11" s="21" t="s">
        <v>325</v>
      </c>
      <c r="C11" s="21" t="s">
        <v>233</v>
      </c>
      <c r="D11" s="21"/>
      <c r="E11" s="21"/>
      <c r="F11" s="21" t="s">
        <v>214</v>
      </c>
      <c r="G11" s="21"/>
      <c r="H11" s="21" t="s">
        <v>326</v>
      </c>
      <c r="I11" s="22" t="s">
        <v>12</v>
      </c>
      <c r="J11" s="21" t="s">
        <v>480</v>
      </c>
      <c r="K11" s="21" t="s">
        <v>502</v>
      </c>
    </row>
    <row r="12" customFormat="false" ht="15" hidden="false" customHeight="false" outlineLevel="0" collapsed="false">
      <c r="A12" s="20" t="s">
        <v>70</v>
      </c>
      <c r="B12" s="21" t="s">
        <v>503</v>
      </c>
      <c r="C12" s="21" t="s">
        <v>218</v>
      </c>
      <c r="D12" s="21"/>
      <c r="E12" s="21"/>
      <c r="F12" s="21" t="s">
        <v>226</v>
      </c>
      <c r="G12" s="21"/>
      <c r="H12" s="21"/>
      <c r="I12" s="22" t="s">
        <v>12</v>
      </c>
      <c r="J12" s="21"/>
      <c r="K12" s="21" t="s">
        <v>504</v>
      </c>
    </row>
    <row r="13" customFormat="false" ht="15" hidden="false" customHeight="false" outlineLevel="0" collapsed="false">
      <c r="A13" s="20" t="s">
        <v>70</v>
      </c>
      <c r="B13" s="21" t="s">
        <v>505</v>
      </c>
      <c r="C13" s="21" t="s">
        <v>262</v>
      </c>
      <c r="D13" s="21"/>
      <c r="E13" s="21"/>
      <c r="F13" s="21" t="s">
        <v>226</v>
      </c>
      <c r="G13" s="21"/>
      <c r="H13" s="21"/>
      <c r="I13" s="22" t="s">
        <v>12</v>
      </c>
      <c r="J13" s="21"/>
      <c r="K13" s="21" t="s">
        <v>506</v>
      </c>
    </row>
    <row r="14" customFormat="false" ht="15" hidden="false" customHeight="false" outlineLevel="0" collapsed="false">
      <c r="A14" s="20" t="s">
        <v>70</v>
      </c>
      <c r="B14" s="21" t="s">
        <v>507</v>
      </c>
      <c r="C14" s="21" t="s">
        <v>391</v>
      </c>
      <c r="D14" s="21"/>
      <c r="E14" s="21"/>
      <c r="F14" s="21" t="s">
        <v>214</v>
      </c>
      <c r="G14" s="21"/>
      <c r="H14" s="21" t="s">
        <v>258</v>
      </c>
      <c r="I14" s="22" t="s">
        <v>12</v>
      </c>
      <c r="J14" s="21" t="s">
        <v>508</v>
      </c>
      <c r="K14" s="21"/>
    </row>
    <row r="15" customFormat="false" ht="15" hidden="false" customHeight="false" outlineLevel="0" collapsed="false">
      <c r="A15" s="20" t="s">
        <v>70</v>
      </c>
      <c r="B15" s="21" t="s">
        <v>509</v>
      </c>
      <c r="C15" s="21" t="s">
        <v>262</v>
      </c>
      <c r="D15" s="21"/>
      <c r="E15" s="21"/>
      <c r="F15" s="21" t="s">
        <v>226</v>
      </c>
      <c r="G15" s="21"/>
      <c r="H15" s="21"/>
      <c r="I15" s="22" t="s">
        <v>12</v>
      </c>
      <c r="J15" s="21" t="s">
        <v>508</v>
      </c>
      <c r="K15" s="21"/>
    </row>
    <row r="16" customFormat="false" ht="15" hidden="false" customHeight="false" outlineLevel="0" collapsed="false">
      <c r="A16" s="20" t="s">
        <v>70</v>
      </c>
      <c r="B16" s="21" t="s">
        <v>510</v>
      </c>
      <c r="C16" s="21" t="s">
        <v>244</v>
      </c>
      <c r="D16" s="21"/>
      <c r="E16" s="21"/>
      <c r="F16" s="21" t="s">
        <v>214</v>
      </c>
      <c r="G16" s="21"/>
      <c r="H16" s="21" t="s">
        <v>245</v>
      </c>
      <c r="I16" s="23" t="s">
        <v>25</v>
      </c>
      <c r="J16" s="21" t="s">
        <v>511</v>
      </c>
      <c r="K16" s="21" t="s">
        <v>512</v>
      </c>
    </row>
    <row r="17" customFormat="false" ht="15" hidden="false" customHeight="false" outlineLevel="0" collapsed="false">
      <c r="A17" s="20" t="s">
        <v>70</v>
      </c>
      <c r="B17" s="21" t="s">
        <v>513</v>
      </c>
      <c r="C17" s="21" t="s">
        <v>337</v>
      </c>
      <c r="D17" s="21"/>
      <c r="E17" s="21"/>
      <c r="F17" s="21" t="s">
        <v>226</v>
      </c>
      <c r="G17" s="21"/>
      <c r="H17" s="21"/>
      <c r="I17" s="23" t="s">
        <v>25</v>
      </c>
      <c r="J17" s="21" t="s">
        <v>511</v>
      </c>
      <c r="K17" s="21"/>
    </row>
    <row r="18" customFormat="false" ht="23.85" hidden="false" customHeight="false" outlineLevel="0" collapsed="false">
      <c r="A18" s="17" t="s">
        <v>74</v>
      </c>
      <c r="B18" s="17" t="s">
        <v>211</v>
      </c>
      <c r="C18" s="18" t="s">
        <v>212</v>
      </c>
      <c r="D18" s="18" t="s">
        <v>213</v>
      </c>
      <c r="E18" s="18"/>
      <c r="F18" s="18" t="s">
        <v>214</v>
      </c>
      <c r="G18" s="18"/>
      <c r="H18" s="18" t="s">
        <v>215</v>
      </c>
      <c r="I18" s="19" t="s">
        <v>12</v>
      </c>
      <c r="J18" s="18"/>
      <c r="K18" s="18" t="s">
        <v>216</v>
      </c>
    </row>
    <row r="19" customFormat="false" ht="15" hidden="false" customHeight="false" outlineLevel="0" collapsed="false">
      <c r="A19" s="20" t="s">
        <v>74</v>
      </c>
      <c r="B19" s="21" t="s">
        <v>217</v>
      </c>
      <c r="C19" s="21" t="s">
        <v>306</v>
      </c>
      <c r="D19" s="21"/>
      <c r="E19" s="21"/>
      <c r="F19" s="21" t="s">
        <v>214</v>
      </c>
      <c r="G19" s="21" t="s">
        <v>214</v>
      </c>
      <c r="H19" s="21"/>
      <c r="I19" s="22" t="s">
        <v>12</v>
      </c>
      <c r="J19" s="21"/>
      <c r="K19" s="21"/>
    </row>
    <row r="20" customFormat="false" ht="15" hidden="false" customHeight="false" outlineLevel="0" collapsed="false">
      <c r="A20" s="20" t="s">
        <v>74</v>
      </c>
      <c r="B20" s="21" t="s">
        <v>334</v>
      </c>
      <c r="C20" s="21" t="s">
        <v>337</v>
      </c>
      <c r="D20" s="21"/>
      <c r="E20" s="21"/>
      <c r="F20" s="21" t="s">
        <v>226</v>
      </c>
      <c r="G20" s="21"/>
      <c r="H20" s="21"/>
      <c r="I20" s="22" t="s">
        <v>12</v>
      </c>
      <c r="J20" s="21"/>
      <c r="K20" s="21"/>
    </row>
    <row r="21" customFormat="false" ht="23.85" hidden="false" customHeight="false" outlineLevel="0" collapsed="false">
      <c r="A21" s="20" t="s">
        <v>74</v>
      </c>
      <c r="B21" s="21" t="s">
        <v>293</v>
      </c>
      <c r="C21" s="21" t="s">
        <v>244</v>
      </c>
      <c r="D21" s="21"/>
      <c r="E21" s="21"/>
      <c r="F21" s="21" t="s">
        <v>214</v>
      </c>
      <c r="G21" s="21"/>
      <c r="H21" s="21" t="s">
        <v>294</v>
      </c>
      <c r="I21" s="22" t="s">
        <v>12</v>
      </c>
      <c r="J21" s="21"/>
      <c r="K21" s="21" t="s">
        <v>514</v>
      </c>
    </row>
    <row r="22" customFormat="false" ht="23.85" hidden="false" customHeight="false" outlineLevel="0" collapsed="false">
      <c r="A22" s="17" t="s">
        <v>77</v>
      </c>
      <c r="B22" s="17" t="s">
        <v>211</v>
      </c>
      <c r="C22" s="18" t="s">
        <v>212</v>
      </c>
      <c r="D22" s="18" t="s">
        <v>213</v>
      </c>
      <c r="E22" s="18"/>
      <c r="F22" s="18" t="s">
        <v>214</v>
      </c>
      <c r="G22" s="18"/>
      <c r="H22" s="18" t="s">
        <v>215</v>
      </c>
      <c r="I22" s="19" t="s">
        <v>12</v>
      </c>
      <c r="J22" s="18"/>
      <c r="K22" s="18" t="s">
        <v>216</v>
      </c>
    </row>
    <row r="23" customFormat="false" ht="15" hidden="false" customHeight="false" outlineLevel="0" collapsed="false">
      <c r="A23" s="20" t="s">
        <v>77</v>
      </c>
      <c r="B23" s="21" t="s">
        <v>466</v>
      </c>
      <c r="C23" s="21" t="s">
        <v>212</v>
      </c>
      <c r="D23" s="21" t="s">
        <v>275</v>
      </c>
      <c r="E23" s="21" t="s">
        <v>56</v>
      </c>
      <c r="F23" s="21" t="s">
        <v>214</v>
      </c>
      <c r="G23" s="21"/>
      <c r="H23" s="21"/>
      <c r="I23" s="22" t="s">
        <v>12</v>
      </c>
      <c r="J23" s="21"/>
      <c r="K23" s="21"/>
    </row>
    <row r="24" customFormat="false" ht="15" hidden="false" customHeight="false" outlineLevel="0" collapsed="false">
      <c r="A24" s="20" t="s">
        <v>77</v>
      </c>
      <c r="B24" s="21" t="s">
        <v>491</v>
      </c>
      <c r="C24" s="21" t="s">
        <v>391</v>
      </c>
      <c r="D24" s="21"/>
      <c r="E24" s="21"/>
      <c r="F24" s="21" t="s">
        <v>214</v>
      </c>
      <c r="G24" s="21"/>
      <c r="H24" s="21"/>
      <c r="I24" s="22" t="s">
        <v>12</v>
      </c>
      <c r="J24" s="21"/>
      <c r="K24" s="21"/>
    </row>
    <row r="25" customFormat="false" ht="15" hidden="false" customHeight="false" outlineLevel="0" collapsed="false">
      <c r="A25" s="20" t="s">
        <v>77</v>
      </c>
      <c r="B25" s="21" t="s">
        <v>325</v>
      </c>
      <c r="C25" s="21" t="s">
        <v>230</v>
      </c>
      <c r="D25" s="21"/>
      <c r="E25" s="21"/>
      <c r="F25" s="21" t="s">
        <v>214</v>
      </c>
      <c r="G25" s="21"/>
      <c r="H25" s="21" t="s">
        <v>326</v>
      </c>
      <c r="I25" s="22" t="s">
        <v>12</v>
      </c>
      <c r="J25" s="21"/>
      <c r="K25" s="21" t="s">
        <v>515</v>
      </c>
    </row>
    <row r="26" customFormat="false" ht="15" hidden="false" customHeight="false" outlineLevel="0" collapsed="false">
      <c r="A26" s="20" t="s">
        <v>77</v>
      </c>
      <c r="B26" s="21" t="s">
        <v>269</v>
      </c>
      <c r="C26" s="21" t="s">
        <v>262</v>
      </c>
      <c r="D26" s="21"/>
      <c r="E26" s="21"/>
      <c r="F26" s="21" t="s">
        <v>214</v>
      </c>
      <c r="G26" s="21"/>
      <c r="H26" s="21" t="s">
        <v>270</v>
      </c>
      <c r="I26" s="22" t="s">
        <v>12</v>
      </c>
      <c r="J26" s="21"/>
      <c r="K26" s="21"/>
    </row>
    <row r="27" customFormat="false" ht="15" hidden="false" customHeight="false" outlineLevel="0" collapsed="false">
      <c r="A27" s="20" t="s">
        <v>77</v>
      </c>
      <c r="B27" s="21" t="s">
        <v>516</v>
      </c>
      <c r="C27" s="21" t="s">
        <v>262</v>
      </c>
      <c r="D27" s="21"/>
      <c r="E27" s="21"/>
      <c r="F27" s="21" t="s">
        <v>226</v>
      </c>
      <c r="G27" s="21"/>
      <c r="H27" s="21"/>
      <c r="I27" s="22" t="s">
        <v>12</v>
      </c>
      <c r="J27" s="21"/>
      <c r="K27" s="21"/>
    </row>
    <row r="28" customFormat="false" ht="15" hidden="false" customHeight="false" outlineLevel="0" collapsed="false">
      <c r="A28" s="20" t="s">
        <v>77</v>
      </c>
      <c r="B28" s="21" t="s">
        <v>517</v>
      </c>
      <c r="C28" s="21" t="s">
        <v>212</v>
      </c>
      <c r="D28" s="21" t="s">
        <v>275</v>
      </c>
      <c r="E28" s="21" t="s">
        <v>70</v>
      </c>
      <c r="F28" s="21" t="s">
        <v>226</v>
      </c>
      <c r="G28" s="21"/>
      <c r="H28" s="21"/>
      <c r="I28" s="22" t="s">
        <v>12</v>
      </c>
      <c r="J28" s="21"/>
      <c r="K28" s="21" t="s">
        <v>518</v>
      </c>
    </row>
    <row r="29" customFormat="false" ht="23.85" hidden="false" customHeight="false" outlineLevel="0" collapsed="false">
      <c r="A29" s="17" t="s">
        <v>80</v>
      </c>
      <c r="B29" s="17" t="s">
        <v>211</v>
      </c>
      <c r="C29" s="18" t="s">
        <v>212</v>
      </c>
      <c r="D29" s="18" t="s">
        <v>213</v>
      </c>
      <c r="E29" s="18"/>
      <c r="F29" s="18" t="s">
        <v>214</v>
      </c>
      <c r="G29" s="18"/>
      <c r="H29" s="18" t="s">
        <v>215</v>
      </c>
      <c r="I29" s="19" t="s">
        <v>12</v>
      </c>
      <c r="J29" s="18"/>
      <c r="K29" s="18" t="s">
        <v>216</v>
      </c>
    </row>
    <row r="30" customFormat="false" ht="15" hidden="false" customHeight="false" outlineLevel="0" collapsed="false">
      <c r="A30" s="20" t="s">
        <v>80</v>
      </c>
      <c r="B30" s="21" t="s">
        <v>330</v>
      </c>
      <c r="C30" s="21" t="s">
        <v>212</v>
      </c>
      <c r="D30" s="21" t="s">
        <v>275</v>
      </c>
      <c r="E30" s="21" t="s">
        <v>10</v>
      </c>
      <c r="F30" s="21" t="s">
        <v>214</v>
      </c>
      <c r="G30" s="21"/>
      <c r="H30" s="21"/>
      <c r="I30" s="22" t="s">
        <v>12</v>
      </c>
      <c r="J30" s="21" t="s">
        <v>519</v>
      </c>
      <c r="K30" s="21" t="s">
        <v>520</v>
      </c>
    </row>
    <row r="31" customFormat="false" ht="15" hidden="false" customHeight="false" outlineLevel="0" collapsed="false">
      <c r="A31" s="20" t="s">
        <v>80</v>
      </c>
      <c r="B31" s="21" t="s">
        <v>466</v>
      </c>
      <c r="C31" s="21" t="s">
        <v>212</v>
      </c>
      <c r="D31" s="21" t="s">
        <v>275</v>
      </c>
      <c r="E31" s="21" t="s">
        <v>56</v>
      </c>
      <c r="F31" s="21" t="s">
        <v>214</v>
      </c>
      <c r="G31" s="21"/>
      <c r="H31" s="21"/>
      <c r="I31" s="22" t="s">
        <v>12</v>
      </c>
      <c r="J31" s="21" t="s">
        <v>519</v>
      </c>
      <c r="K31" s="21" t="s">
        <v>521</v>
      </c>
    </row>
    <row r="32" customFormat="false" ht="15" hidden="false" customHeight="false" outlineLevel="0" collapsed="false">
      <c r="A32" s="20" t="s">
        <v>80</v>
      </c>
      <c r="B32" s="21" t="s">
        <v>522</v>
      </c>
      <c r="C32" s="21" t="s">
        <v>391</v>
      </c>
      <c r="D32" s="21"/>
      <c r="E32" s="21"/>
      <c r="F32" s="21" t="s">
        <v>214</v>
      </c>
      <c r="G32" s="21"/>
      <c r="H32" s="21"/>
      <c r="I32" s="22" t="s">
        <v>12</v>
      </c>
      <c r="J32" s="21" t="s">
        <v>519</v>
      </c>
      <c r="K32" s="21"/>
    </row>
    <row r="33" customFormat="false" ht="15" hidden="false" customHeight="false" outlineLevel="0" collapsed="false">
      <c r="A33" s="20" t="s">
        <v>80</v>
      </c>
      <c r="B33" s="21" t="s">
        <v>325</v>
      </c>
      <c r="C33" s="21" t="s">
        <v>233</v>
      </c>
      <c r="D33" s="21"/>
      <c r="E33" s="21"/>
      <c r="F33" s="21" t="s">
        <v>214</v>
      </c>
      <c r="G33" s="21"/>
      <c r="H33" s="21" t="s">
        <v>326</v>
      </c>
      <c r="I33" s="22" t="s">
        <v>12</v>
      </c>
      <c r="J33" s="21" t="s">
        <v>523</v>
      </c>
      <c r="K33" s="21" t="s">
        <v>524</v>
      </c>
    </row>
    <row r="34" customFormat="false" ht="15" hidden="false" customHeight="false" outlineLevel="0" collapsed="false">
      <c r="A34" s="20" t="s">
        <v>80</v>
      </c>
      <c r="B34" s="21" t="s">
        <v>269</v>
      </c>
      <c r="C34" s="21" t="s">
        <v>262</v>
      </c>
      <c r="D34" s="21"/>
      <c r="E34" s="21"/>
      <c r="F34" s="21" t="s">
        <v>214</v>
      </c>
      <c r="G34" s="21"/>
      <c r="H34" s="21" t="s">
        <v>270</v>
      </c>
      <c r="I34" s="22" t="s">
        <v>12</v>
      </c>
      <c r="J34" s="21"/>
      <c r="K34" s="21"/>
    </row>
    <row r="35" customFormat="false" ht="15" hidden="false" customHeight="false" outlineLevel="0" collapsed="false">
      <c r="A35" s="20" t="s">
        <v>80</v>
      </c>
      <c r="B35" s="21" t="s">
        <v>525</v>
      </c>
      <c r="C35" s="21" t="s">
        <v>262</v>
      </c>
      <c r="D35" s="21"/>
      <c r="E35" s="21"/>
      <c r="F35" s="21" t="s">
        <v>226</v>
      </c>
      <c r="G35" s="21"/>
      <c r="H35" s="21"/>
      <c r="I35" s="22" t="s">
        <v>12</v>
      </c>
      <c r="J35" s="21"/>
      <c r="K35" s="21"/>
    </row>
    <row r="36" customFormat="false" ht="15" hidden="false" customHeight="false" outlineLevel="0" collapsed="false">
      <c r="A36" s="20" t="s">
        <v>80</v>
      </c>
      <c r="B36" s="21" t="s">
        <v>482</v>
      </c>
      <c r="C36" s="21" t="s">
        <v>212</v>
      </c>
      <c r="D36" s="21" t="s">
        <v>275</v>
      </c>
      <c r="E36" s="21" t="s">
        <v>86</v>
      </c>
      <c r="F36" s="21" t="s">
        <v>226</v>
      </c>
      <c r="G36" s="21"/>
      <c r="H36" s="21"/>
      <c r="I36" s="23" t="s">
        <v>25</v>
      </c>
      <c r="J36" s="21" t="s">
        <v>526</v>
      </c>
      <c r="K36" s="21" t="s">
        <v>527</v>
      </c>
    </row>
    <row r="37" customFormat="false" ht="23.85" hidden="false" customHeight="false" outlineLevel="0" collapsed="false">
      <c r="A37" s="17" t="s">
        <v>83</v>
      </c>
      <c r="B37" s="17" t="s">
        <v>211</v>
      </c>
      <c r="C37" s="18" t="s">
        <v>212</v>
      </c>
      <c r="D37" s="18" t="s">
        <v>213</v>
      </c>
      <c r="E37" s="18"/>
      <c r="F37" s="18" t="s">
        <v>214</v>
      </c>
      <c r="G37" s="18"/>
      <c r="H37" s="18" t="s">
        <v>215</v>
      </c>
      <c r="I37" s="19" t="s">
        <v>12</v>
      </c>
      <c r="J37" s="18"/>
      <c r="K37" s="18" t="s">
        <v>216</v>
      </c>
    </row>
    <row r="38" customFormat="false" ht="15" hidden="false" customHeight="false" outlineLevel="0" collapsed="false">
      <c r="A38" s="20" t="s">
        <v>83</v>
      </c>
      <c r="B38" s="21" t="s">
        <v>330</v>
      </c>
      <c r="C38" s="21" t="s">
        <v>212</v>
      </c>
      <c r="D38" s="21" t="s">
        <v>275</v>
      </c>
      <c r="E38" s="21" t="s">
        <v>10</v>
      </c>
      <c r="F38" s="21" t="s">
        <v>214</v>
      </c>
      <c r="G38" s="21"/>
      <c r="H38" s="21"/>
      <c r="I38" s="22" t="s">
        <v>12</v>
      </c>
      <c r="J38" s="21"/>
      <c r="K38" s="21"/>
    </row>
    <row r="39" customFormat="false" ht="15" hidden="false" customHeight="false" outlineLevel="0" collapsed="false">
      <c r="A39" s="20" t="s">
        <v>83</v>
      </c>
      <c r="B39" s="21" t="s">
        <v>276</v>
      </c>
      <c r="C39" s="21" t="s">
        <v>230</v>
      </c>
      <c r="D39" s="21"/>
      <c r="E39" s="21"/>
      <c r="F39" s="21" t="s">
        <v>214</v>
      </c>
      <c r="G39" s="21"/>
      <c r="H39" s="21"/>
      <c r="I39" s="22" t="s">
        <v>12</v>
      </c>
      <c r="J39" s="21"/>
      <c r="K39" s="21" t="s">
        <v>528</v>
      </c>
    </row>
    <row r="40" customFormat="false" ht="15" hidden="false" customHeight="false" outlineLevel="0" collapsed="false">
      <c r="A40" s="20" t="s">
        <v>83</v>
      </c>
      <c r="B40" s="21" t="s">
        <v>503</v>
      </c>
      <c r="C40" s="21" t="s">
        <v>218</v>
      </c>
      <c r="D40" s="21"/>
      <c r="E40" s="21"/>
      <c r="F40" s="21" t="s">
        <v>214</v>
      </c>
      <c r="G40" s="21"/>
      <c r="H40" s="21"/>
      <c r="I40" s="22" t="s">
        <v>12</v>
      </c>
      <c r="J40" s="21"/>
      <c r="K40" s="21"/>
    </row>
    <row r="41" customFormat="false" ht="15" hidden="false" customHeight="false" outlineLevel="0" collapsed="false">
      <c r="A41" s="20" t="s">
        <v>83</v>
      </c>
      <c r="B41" s="21" t="s">
        <v>325</v>
      </c>
      <c r="C41" s="21" t="s">
        <v>233</v>
      </c>
      <c r="D41" s="21"/>
      <c r="E41" s="21"/>
      <c r="F41" s="21" t="s">
        <v>214</v>
      </c>
      <c r="G41" s="21"/>
      <c r="H41" s="21" t="s">
        <v>326</v>
      </c>
      <c r="I41" s="22" t="s">
        <v>12</v>
      </c>
      <c r="J41" s="21" t="s">
        <v>84</v>
      </c>
      <c r="K41" s="21" t="s">
        <v>529</v>
      </c>
    </row>
    <row r="42" customFormat="false" ht="15" hidden="false" customHeight="false" outlineLevel="0" collapsed="false">
      <c r="A42" s="20" t="s">
        <v>83</v>
      </c>
      <c r="B42" s="21" t="s">
        <v>530</v>
      </c>
      <c r="C42" s="21" t="s">
        <v>244</v>
      </c>
      <c r="D42" s="21"/>
      <c r="E42" s="21"/>
      <c r="F42" s="21" t="s">
        <v>214</v>
      </c>
      <c r="G42" s="21"/>
      <c r="H42" s="21" t="s">
        <v>245</v>
      </c>
      <c r="I42" s="22" t="s">
        <v>12</v>
      </c>
      <c r="J42" s="21"/>
      <c r="K42" s="21"/>
    </row>
    <row r="43" customFormat="false" ht="15" hidden="false" customHeight="false" outlineLevel="0" collapsed="false">
      <c r="A43" s="20" t="s">
        <v>83</v>
      </c>
      <c r="B43" s="21" t="s">
        <v>269</v>
      </c>
      <c r="C43" s="21" t="s">
        <v>262</v>
      </c>
      <c r="D43" s="21"/>
      <c r="E43" s="21"/>
      <c r="F43" s="21" t="s">
        <v>214</v>
      </c>
      <c r="G43" s="21"/>
      <c r="H43" s="21" t="s">
        <v>270</v>
      </c>
      <c r="I43" s="22" t="s">
        <v>12</v>
      </c>
      <c r="J43" s="21"/>
      <c r="K43" s="21"/>
    </row>
    <row r="44" customFormat="false" ht="23.85" hidden="false" customHeight="false" outlineLevel="0" collapsed="false">
      <c r="A44" s="17" t="s">
        <v>86</v>
      </c>
      <c r="B44" s="17" t="s">
        <v>211</v>
      </c>
      <c r="C44" s="18" t="s">
        <v>212</v>
      </c>
      <c r="D44" s="18" t="s">
        <v>213</v>
      </c>
      <c r="E44" s="18"/>
      <c r="F44" s="18" t="s">
        <v>214</v>
      </c>
      <c r="G44" s="18"/>
      <c r="H44" s="18" t="s">
        <v>215</v>
      </c>
      <c r="I44" s="24" t="s">
        <v>25</v>
      </c>
      <c r="J44" s="18"/>
      <c r="K44" s="18" t="s">
        <v>216</v>
      </c>
    </row>
    <row r="45" customFormat="false" ht="15" hidden="false" customHeight="false" outlineLevel="0" collapsed="false">
      <c r="A45" s="20" t="s">
        <v>86</v>
      </c>
      <c r="B45" s="21" t="s">
        <v>330</v>
      </c>
      <c r="C45" s="21" t="s">
        <v>212</v>
      </c>
      <c r="D45" s="21" t="s">
        <v>275</v>
      </c>
      <c r="E45" s="21" t="s">
        <v>10</v>
      </c>
      <c r="F45" s="21" t="s">
        <v>214</v>
      </c>
      <c r="G45" s="21"/>
      <c r="H45" s="21"/>
      <c r="I45" s="23" t="s">
        <v>25</v>
      </c>
      <c r="J45" s="21"/>
      <c r="K45" s="21"/>
    </row>
    <row r="46" customFormat="false" ht="15" hidden="false" customHeight="false" outlineLevel="0" collapsed="false">
      <c r="A46" s="20" t="s">
        <v>86</v>
      </c>
      <c r="B46" s="21" t="s">
        <v>531</v>
      </c>
      <c r="C46" s="21" t="s">
        <v>212</v>
      </c>
      <c r="D46" s="21" t="s">
        <v>275</v>
      </c>
      <c r="E46" s="21" t="s">
        <v>83</v>
      </c>
      <c r="F46" s="21" t="s">
        <v>214</v>
      </c>
      <c r="G46" s="21"/>
      <c r="H46" s="21"/>
      <c r="I46" s="23" t="s">
        <v>25</v>
      </c>
      <c r="J46" s="21"/>
      <c r="K46" s="21"/>
    </row>
    <row r="47" customFormat="false" ht="15" hidden="false" customHeight="false" outlineLevel="0" collapsed="false">
      <c r="A47" s="20" t="s">
        <v>86</v>
      </c>
      <c r="B47" s="21" t="s">
        <v>532</v>
      </c>
      <c r="C47" s="21" t="s">
        <v>391</v>
      </c>
      <c r="D47" s="21"/>
      <c r="E47" s="21"/>
      <c r="F47" s="21" t="s">
        <v>214</v>
      </c>
      <c r="G47" s="21"/>
      <c r="H47" s="21"/>
      <c r="I47" s="23" t="s">
        <v>25</v>
      </c>
      <c r="J47" s="21"/>
      <c r="K47" s="21"/>
    </row>
    <row r="48" customFormat="false" ht="15" hidden="false" customHeight="false" outlineLevel="0" collapsed="false">
      <c r="A48" s="20" t="s">
        <v>86</v>
      </c>
      <c r="B48" s="21" t="s">
        <v>533</v>
      </c>
      <c r="C48" s="21" t="s">
        <v>391</v>
      </c>
      <c r="D48" s="21"/>
      <c r="E48" s="21"/>
      <c r="F48" s="21" t="s">
        <v>214</v>
      </c>
      <c r="G48" s="21"/>
      <c r="H48" s="21" t="s">
        <v>258</v>
      </c>
      <c r="I48" s="23" t="s">
        <v>25</v>
      </c>
      <c r="J48" s="21" t="s">
        <v>526</v>
      </c>
      <c r="K48" s="21" t="s">
        <v>534</v>
      </c>
    </row>
    <row r="49" customFormat="false" ht="15" hidden="false" customHeight="false" outlineLevel="0" collapsed="false">
      <c r="A49" s="20" t="s">
        <v>86</v>
      </c>
      <c r="B49" s="21" t="s">
        <v>535</v>
      </c>
      <c r="C49" s="21" t="s">
        <v>391</v>
      </c>
      <c r="D49" s="21"/>
      <c r="E49" s="21"/>
      <c r="F49" s="21" t="s">
        <v>214</v>
      </c>
      <c r="G49" s="21"/>
      <c r="H49" s="21"/>
      <c r="I49" s="23" t="s">
        <v>25</v>
      </c>
      <c r="J49" s="21"/>
      <c r="K49" s="21"/>
    </row>
    <row r="50" customFormat="false" ht="15" hidden="false" customHeight="false" outlineLevel="0" collapsed="false">
      <c r="A50" s="20" t="s">
        <v>86</v>
      </c>
      <c r="B50" s="21" t="s">
        <v>325</v>
      </c>
      <c r="C50" s="21" t="s">
        <v>233</v>
      </c>
      <c r="D50" s="21"/>
      <c r="E50" s="21"/>
      <c r="F50" s="21" t="s">
        <v>214</v>
      </c>
      <c r="G50" s="21"/>
      <c r="H50" s="21"/>
      <c r="I50" s="23" t="s">
        <v>25</v>
      </c>
      <c r="J50" s="21"/>
      <c r="K50" s="21" t="s">
        <v>536</v>
      </c>
    </row>
    <row r="51" customFormat="false" ht="15" hidden="false" customHeight="false" outlineLevel="0" collapsed="false">
      <c r="A51" s="20" t="s">
        <v>86</v>
      </c>
      <c r="B51" s="21" t="s">
        <v>537</v>
      </c>
      <c r="C51" s="21" t="s">
        <v>262</v>
      </c>
      <c r="D51" s="21"/>
      <c r="E51" s="21"/>
      <c r="F51" s="21" t="s">
        <v>214</v>
      </c>
      <c r="G51" s="21"/>
      <c r="H51" s="21"/>
      <c r="I51" s="23" t="s">
        <v>25</v>
      </c>
      <c r="J51" s="21" t="s">
        <v>538</v>
      </c>
      <c r="K51" s="21"/>
    </row>
    <row r="52" customFormat="false" ht="15" hidden="false" customHeight="false" outlineLevel="0" collapsed="false">
      <c r="A52" s="20" t="s">
        <v>86</v>
      </c>
      <c r="B52" s="21" t="s">
        <v>505</v>
      </c>
      <c r="C52" s="21" t="s">
        <v>262</v>
      </c>
      <c r="D52" s="21"/>
      <c r="E52" s="21"/>
      <c r="F52" s="21" t="s">
        <v>226</v>
      </c>
      <c r="G52" s="21"/>
      <c r="H52" s="21"/>
      <c r="I52" s="23" t="s">
        <v>25</v>
      </c>
      <c r="J52" s="21"/>
      <c r="K52" s="21"/>
    </row>
    <row r="53" customFormat="false" ht="15" hidden="false" customHeight="false" outlineLevel="0" collapsed="false">
      <c r="A53" s="20" t="s">
        <v>86</v>
      </c>
      <c r="B53" s="21" t="s">
        <v>503</v>
      </c>
      <c r="C53" s="21" t="s">
        <v>218</v>
      </c>
      <c r="D53" s="21"/>
      <c r="E53" s="21"/>
      <c r="F53" s="21" t="s">
        <v>226</v>
      </c>
      <c r="G53" s="21"/>
      <c r="H53" s="21"/>
      <c r="I53" s="23" t="s">
        <v>25</v>
      </c>
      <c r="J53" s="21"/>
      <c r="K53" s="21" t="s">
        <v>539</v>
      </c>
    </row>
    <row r="54" customFormat="false" ht="23.85" hidden="false" customHeight="false" outlineLevel="0" collapsed="false">
      <c r="A54" s="17" t="s">
        <v>89</v>
      </c>
      <c r="B54" s="17" t="s">
        <v>211</v>
      </c>
      <c r="C54" s="18" t="s">
        <v>212</v>
      </c>
      <c r="D54" s="18" t="s">
        <v>213</v>
      </c>
      <c r="E54" s="18"/>
      <c r="F54" s="18" t="s">
        <v>214</v>
      </c>
      <c r="G54" s="18"/>
      <c r="H54" s="18" t="s">
        <v>215</v>
      </c>
      <c r="I54" s="24" t="s">
        <v>25</v>
      </c>
      <c r="J54" s="18"/>
      <c r="K54" s="18" t="s">
        <v>216</v>
      </c>
    </row>
    <row r="55" customFormat="false" ht="15" hidden="false" customHeight="false" outlineLevel="0" collapsed="false">
      <c r="A55" s="20" t="s">
        <v>89</v>
      </c>
      <c r="B55" s="21" t="s">
        <v>517</v>
      </c>
      <c r="C55" s="21" t="s">
        <v>212</v>
      </c>
      <c r="D55" s="21" t="s">
        <v>275</v>
      </c>
      <c r="E55" s="21" t="s">
        <v>70</v>
      </c>
      <c r="F55" s="21" t="s">
        <v>214</v>
      </c>
      <c r="G55" s="21"/>
      <c r="H55" s="21"/>
      <c r="I55" s="23" t="s">
        <v>25</v>
      </c>
      <c r="J55" s="21"/>
      <c r="K55" s="21"/>
    </row>
    <row r="56" customFormat="false" ht="15" hidden="false" customHeight="false" outlineLevel="0" collapsed="false">
      <c r="A56" s="20" t="s">
        <v>89</v>
      </c>
      <c r="B56" s="21" t="s">
        <v>540</v>
      </c>
      <c r="C56" s="21" t="s">
        <v>309</v>
      </c>
      <c r="D56" s="21"/>
      <c r="E56" s="21"/>
      <c r="F56" s="21" t="s">
        <v>214</v>
      </c>
      <c r="G56" s="21" t="s">
        <v>214</v>
      </c>
      <c r="H56" s="21"/>
      <c r="I56" s="23" t="s">
        <v>25</v>
      </c>
      <c r="J56" s="21"/>
      <c r="K56" s="21"/>
    </row>
    <row r="57" customFormat="false" ht="15" hidden="false" customHeight="false" outlineLevel="0" collapsed="false">
      <c r="A57" s="20" t="s">
        <v>89</v>
      </c>
      <c r="B57" s="21" t="s">
        <v>541</v>
      </c>
      <c r="C57" s="21" t="s">
        <v>262</v>
      </c>
      <c r="D57" s="21"/>
      <c r="E57" s="21"/>
      <c r="F57" s="21" t="s">
        <v>214</v>
      </c>
      <c r="G57" s="21"/>
      <c r="H57" s="21"/>
      <c r="I57" s="23" t="s">
        <v>25</v>
      </c>
      <c r="J57" s="21"/>
      <c r="K57" s="21"/>
    </row>
    <row r="58" customFormat="false" ht="15" hidden="false" customHeight="false" outlineLevel="0" collapsed="false">
      <c r="A58" s="20" t="s">
        <v>89</v>
      </c>
      <c r="B58" s="21" t="s">
        <v>542</v>
      </c>
      <c r="C58" s="21" t="s">
        <v>391</v>
      </c>
      <c r="D58" s="21"/>
      <c r="E58" s="21"/>
      <c r="F58" s="21" t="s">
        <v>214</v>
      </c>
      <c r="G58" s="21"/>
      <c r="H58" s="21"/>
      <c r="I58" s="23" t="s">
        <v>25</v>
      </c>
      <c r="J58" s="21"/>
      <c r="K58" s="21"/>
    </row>
    <row r="59" customFormat="false" ht="15" hidden="false" customHeight="false" outlineLevel="0" collapsed="false">
      <c r="A59" s="20" t="s">
        <v>89</v>
      </c>
      <c r="B59" s="21" t="s">
        <v>543</v>
      </c>
      <c r="C59" s="21" t="s">
        <v>240</v>
      </c>
      <c r="D59" s="21"/>
      <c r="E59" s="21"/>
      <c r="F59" s="21" t="s">
        <v>226</v>
      </c>
      <c r="G59" s="21"/>
      <c r="H59" s="21"/>
      <c r="I59" s="23" t="s">
        <v>25</v>
      </c>
      <c r="J59" s="21"/>
      <c r="K59" s="21" t="s">
        <v>544</v>
      </c>
    </row>
    <row r="60" customFormat="false" ht="23.85" hidden="false" customHeight="false" outlineLevel="0" collapsed="false">
      <c r="A60" s="17" t="s">
        <v>92</v>
      </c>
      <c r="B60" s="17" t="s">
        <v>211</v>
      </c>
      <c r="C60" s="18" t="s">
        <v>212</v>
      </c>
      <c r="D60" s="18" t="s">
        <v>213</v>
      </c>
      <c r="E60" s="18"/>
      <c r="F60" s="18" t="s">
        <v>214</v>
      </c>
      <c r="G60" s="18"/>
      <c r="H60" s="18" t="s">
        <v>215</v>
      </c>
      <c r="I60" s="19" t="s">
        <v>12</v>
      </c>
      <c r="J60" s="18"/>
      <c r="K60" s="18" t="s">
        <v>216</v>
      </c>
    </row>
    <row r="61" customFormat="false" ht="15" hidden="false" customHeight="false" outlineLevel="0" collapsed="false">
      <c r="A61" s="20" t="s">
        <v>92</v>
      </c>
      <c r="B61" s="21" t="s">
        <v>545</v>
      </c>
      <c r="C61" s="21" t="s">
        <v>306</v>
      </c>
      <c r="D61" s="21"/>
      <c r="E61" s="21"/>
      <c r="F61" s="21" t="s">
        <v>214</v>
      </c>
      <c r="G61" s="21" t="s">
        <v>546</v>
      </c>
      <c r="H61" s="21"/>
      <c r="I61" s="22" t="s">
        <v>12</v>
      </c>
      <c r="J61" s="21"/>
      <c r="K61" s="21" t="s">
        <v>547</v>
      </c>
    </row>
    <row r="62" customFormat="false" ht="15" hidden="false" customHeight="false" outlineLevel="0" collapsed="false">
      <c r="A62" s="20" t="s">
        <v>92</v>
      </c>
      <c r="B62" s="21" t="s">
        <v>390</v>
      </c>
      <c r="C62" s="21" t="s">
        <v>218</v>
      </c>
      <c r="D62" s="21"/>
      <c r="E62" s="21"/>
      <c r="F62" s="21" t="s">
        <v>214</v>
      </c>
      <c r="G62" s="21"/>
      <c r="H62" s="21"/>
      <c r="I62" s="22" t="s">
        <v>12</v>
      </c>
      <c r="J62" s="21"/>
      <c r="K62" s="21" t="s">
        <v>548</v>
      </c>
    </row>
    <row r="63" customFormat="false" ht="15" hidden="false" customHeight="false" outlineLevel="0" collapsed="false">
      <c r="A63" s="20" t="s">
        <v>92</v>
      </c>
      <c r="B63" s="21" t="s">
        <v>334</v>
      </c>
      <c r="C63" s="21" t="s">
        <v>337</v>
      </c>
      <c r="D63" s="21"/>
      <c r="E63" s="21"/>
      <c r="F63" s="21" t="s">
        <v>226</v>
      </c>
      <c r="G63" s="21"/>
      <c r="H63" s="21"/>
      <c r="I63" s="22" t="s">
        <v>12</v>
      </c>
      <c r="J63" s="21"/>
      <c r="K63" s="21"/>
    </row>
    <row r="64" customFormat="false" ht="15" hidden="false" customHeight="false" outlineLevel="0" collapsed="false">
      <c r="A64" s="20" t="s">
        <v>92</v>
      </c>
      <c r="B64" s="21" t="s">
        <v>549</v>
      </c>
      <c r="C64" s="21" t="s">
        <v>262</v>
      </c>
      <c r="D64" s="21"/>
      <c r="E64" s="21"/>
      <c r="F64" s="21" t="s">
        <v>214</v>
      </c>
      <c r="G64" s="21"/>
      <c r="H64" s="21" t="s">
        <v>270</v>
      </c>
      <c r="I64" s="22" t="s">
        <v>12</v>
      </c>
      <c r="J64" s="21"/>
      <c r="K64" s="21" t="s">
        <v>550</v>
      </c>
    </row>
  </sheetData>
  <autoFilter ref="A1:K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9" min="9" style="0" width="8"/>
    <col collapsed="false" customWidth="true" hidden="false" outlineLevel="0" max="10" min="10" style="0" width="18"/>
    <col collapsed="false" customWidth="true" hidden="false" outlineLevel="0" max="11" min="11" style="0" width="80"/>
  </cols>
  <sheetData>
    <row r="1" customFormat="false" ht="23.85" hidden="false" customHeight="false" outlineLevel="0" collapsed="false">
      <c r="A1" s="3" t="s">
        <v>3</v>
      </c>
      <c r="B1" s="3" t="s">
        <v>202</v>
      </c>
      <c r="C1" s="3" t="s">
        <v>203</v>
      </c>
      <c r="D1" s="3" t="s">
        <v>204</v>
      </c>
      <c r="E1" s="3" t="s">
        <v>205</v>
      </c>
      <c r="F1" s="3" t="s">
        <v>206</v>
      </c>
      <c r="G1" s="3" t="s">
        <v>207</v>
      </c>
      <c r="H1" s="3" t="s">
        <v>208</v>
      </c>
      <c r="I1" s="3" t="s">
        <v>5</v>
      </c>
      <c r="J1" s="3" t="s">
        <v>209</v>
      </c>
      <c r="K1" s="3" t="s">
        <v>210</v>
      </c>
    </row>
    <row r="2" customFormat="false" ht="23.85" hidden="false" customHeight="false" outlineLevel="0" collapsed="false">
      <c r="A2" s="17" t="s">
        <v>95</v>
      </c>
      <c r="B2" s="17" t="s">
        <v>211</v>
      </c>
      <c r="C2" s="18" t="s">
        <v>212</v>
      </c>
      <c r="D2" s="18" t="s">
        <v>213</v>
      </c>
      <c r="E2" s="18"/>
      <c r="F2" s="18" t="s">
        <v>214</v>
      </c>
      <c r="G2" s="18"/>
      <c r="H2" s="18" t="s">
        <v>215</v>
      </c>
      <c r="I2" s="19" t="s">
        <v>12</v>
      </c>
      <c r="J2" s="18"/>
      <c r="K2" s="18" t="s">
        <v>216</v>
      </c>
    </row>
    <row r="3" customFormat="false" ht="15" hidden="false" customHeight="false" outlineLevel="0" collapsed="false">
      <c r="A3" s="20" t="s">
        <v>95</v>
      </c>
      <c r="B3" s="21" t="s">
        <v>466</v>
      </c>
      <c r="C3" s="21" t="s">
        <v>212</v>
      </c>
      <c r="D3" s="21" t="s">
        <v>275</v>
      </c>
      <c r="E3" s="21" t="s">
        <v>56</v>
      </c>
      <c r="F3" s="21" t="s">
        <v>214</v>
      </c>
      <c r="G3" s="21"/>
      <c r="H3" s="21"/>
      <c r="I3" s="22" t="s">
        <v>12</v>
      </c>
      <c r="J3" s="21" t="s">
        <v>551</v>
      </c>
      <c r="K3" s="21"/>
    </row>
    <row r="4" customFormat="false" ht="15" hidden="false" customHeight="false" outlineLevel="0" collapsed="false">
      <c r="A4" s="20" t="s">
        <v>95</v>
      </c>
      <c r="B4" s="21" t="s">
        <v>552</v>
      </c>
      <c r="C4" s="21" t="s">
        <v>212</v>
      </c>
      <c r="D4" s="21" t="s">
        <v>275</v>
      </c>
      <c r="E4" s="21" t="s">
        <v>10</v>
      </c>
      <c r="F4" s="21" t="s">
        <v>214</v>
      </c>
      <c r="G4" s="21"/>
      <c r="H4" s="21"/>
      <c r="I4" s="22" t="s">
        <v>12</v>
      </c>
      <c r="J4" s="21" t="s">
        <v>551</v>
      </c>
      <c r="K4" s="21"/>
    </row>
    <row r="5" customFormat="false" ht="15" hidden="false" customHeight="false" outlineLevel="0" collapsed="false">
      <c r="A5" s="20" t="s">
        <v>95</v>
      </c>
      <c r="B5" s="21" t="s">
        <v>276</v>
      </c>
      <c r="C5" s="21" t="s">
        <v>230</v>
      </c>
      <c r="D5" s="21"/>
      <c r="E5" s="21"/>
      <c r="F5" s="21" t="s">
        <v>214</v>
      </c>
      <c r="G5" s="21"/>
      <c r="H5" s="21" t="s">
        <v>553</v>
      </c>
      <c r="I5" s="22" t="s">
        <v>12</v>
      </c>
      <c r="J5" s="21"/>
      <c r="K5" s="21" t="s">
        <v>554</v>
      </c>
    </row>
    <row r="6" customFormat="false" ht="15" hidden="false" customHeight="false" outlineLevel="0" collapsed="false">
      <c r="A6" s="20" t="s">
        <v>95</v>
      </c>
      <c r="B6" s="21" t="s">
        <v>555</v>
      </c>
      <c r="C6" s="21" t="s">
        <v>335</v>
      </c>
      <c r="D6" s="21"/>
      <c r="E6" s="21"/>
      <c r="F6" s="21" t="s">
        <v>226</v>
      </c>
      <c r="G6" s="21"/>
      <c r="H6" s="21"/>
      <c r="I6" s="22" t="s">
        <v>12</v>
      </c>
      <c r="J6" s="21"/>
      <c r="K6" s="21"/>
    </row>
    <row r="7" customFormat="false" ht="15" hidden="false" customHeight="false" outlineLevel="0" collapsed="false">
      <c r="A7" s="20" t="s">
        <v>95</v>
      </c>
      <c r="B7" s="21" t="s">
        <v>556</v>
      </c>
      <c r="C7" s="21" t="s">
        <v>240</v>
      </c>
      <c r="D7" s="21"/>
      <c r="E7" s="21"/>
      <c r="F7" s="21" t="s">
        <v>226</v>
      </c>
      <c r="G7" s="21"/>
      <c r="H7" s="21"/>
      <c r="I7" s="23" t="s">
        <v>25</v>
      </c>
      <c r="J7" s="21" t="s">
        <v>557</v>
      </c>
      <c r="K7" s="21"/>
    </row>
    <row r="8" customFormat="false" ht="15" hidden="false" customHeight="false" outlineLevel="0" collapsed="false">
      <c r="A8" s="20" t="s">
        <v>95</v>
      </c>
      <c r="B8" s="21" t="s">
        <v>344</v>
      </c>
      <c r="C8" s="21" t="s">
        <v>345</v>
      </c>
      <c r="D8" s="21"/>
      <c r="E8" s="21"/>
      <c r="F8" s="21" t="s">
        <v>226</v>
      </c>
      <c r="G8" s="21"/>
      <c r="H8" s="21"/>
      <c r="I8" s="26" t="s">
        <v>67</v>
      </c>
      <c r="J8" s="21" t="s">
        <v>558</v>
      </c>
      <c r="K8" s="21" t="s">
        <v>559</v>
      </c>
    </row>
    <row r="9" customFormat="false" ht="15" hidden="false" customHeight="false" outlineLevel="0" collapsed="false">
      <c r="A9" s="20" t="s">
        <v>95</v>
      </c>
      <c r="B9" s="21" t="s">
        <v>348</v>
      </c>
      <c r="C9" s="21" t="s">
        <v>345</v>
      </c>
      <c r="D9" s="21"/>
      <c r="E9" s="21"/>
      <c r="F9" s="21" t="s">
        <v>226</v>
      </c>
      <c r="G9" s="21"/>
      <c r="H9" s="21"/>
      <c r="I9" s="26" t="s">
        <v>67</v>
      </c>
      <c r="J9" s="21" t="s">
        <v>558</v>
      </c>
      <c r="K9" s="21"/>
    </row>
    <row r="10" customFormat="false" ht="15" hidden="false" customHeight="false" outlineLevel="0" collapsed="false">
      <c r="A10" s="20" t="s">
        <v>95</v>
      </c>
      <c r="B10" s="21" t="s">
        <v>560</v>
      </c>
      <c r="C10" s="21" t="s">
        <v>262</v>
      </c>
      <c r="D10" s="21"/>
      <c r="E10" s="21"/>
      <c r="F10" s="21" t="s">
        <v>214</v>
      </c>
      <c r="G10" s="21"/>
      <c r="H10" s="21" t="s">
        <v>270</v>
      </c>
      <c r="I10" s="22" t="s">
        <v>12</v>
      </c>
      <c r="J10" s="21"/>
      <c r="K10" s="21"/>
    </row>
    <row r="11" customFormat="false" ht="15" hidden="false" customHeight="false" outlineLevel="0" collapsed="false">
      <c r="A11" s="20" t="s">
        <v>95</v>
      </c>
      <c r="B11" s="21" t="s">
        <v>561</v>
      </c>
      <c r="C11" s="21" t="s">
        <v>244</v>
      </c>
      <c r="D11" s="21"/>
      <c r="E11" s="21"/>
      <c r="F11" s="21" t="s">
        <v>214</v>
      </c>
      <c r="G11" s="21"/>
      <c r="H11" s="21" t="s">
        <v>245</v>
      </c>
      <c r="I11" s="22" t="s">
        <v>12</v>
      </c>
      <c r="J11" s="21"/>
      <c r="K11" s="21" t="s">
        <v>562</v>
      </c>
    </row>
    <row r="12" customFormat="false" ht="23.85" hidden="false" customHeight="false" outlineLevel="0" collapsed="false">
      <c r="A12" s="17" t="s">
        <v>99</v>
      </c>
      <c r="B12" s="17" t="s">
        <v>211</v>
      </c>
      <c r="C12" s="18" t="s">
        <v>212</v>
      </c>
      <c r="D12" s="18" t="s">
        <v>213</v>
      </c>
      <c r="E12" s="18"/>
      <c r="F12" s="18" t="s">
        <v>214</v>
      </c>
      <c r="G12" s="18"/>
      <c r="H12" s="18" t="s">
        <v>215</v>
      </c>
      <c r="I12" s="19" t="s">
        <v>12</v>
      </c>
      <c r="J12" s="18"/>
      <c r="K12" s="18" t="s">
        <v>216</v>
      </c>
    </row>
    <row r="13" customFormat="false" ht="15" hidden="false" customHeight="false" outlineLevel="0" collapsed="false">
      <c r="A13" s="20" t="s">
        <v>99</v>
      </c>
      <c r="B13" s="21" t="s">
        <v>466</v>
      </c>
      <c r="C13" s="21" t="s">
        <v>212</v>
      </c>
      <c r="D13" s="21" t="s">
        <v>275</v>
      </c>
      <c r="E13" s="21" t="s">
        <v>56</v>
      </c>
      <c r="F13" s="21" t="s">
        <v>214</v>
      </c>
      <c r="G13" s="21"/>
      <c r="H13" s="21"/>
      <c r="I13" s="22" t="s">
        <v>12</v>
      </c>
      <c r="J13" s="21" t="s">
        <v>563</v>
      </c>
      <c r="K13" s="21" t="s">
        <v>564</v>
      </c>
    </row>
    <row r="14" customFormat="false" ht="15" hidden="false" customHeight="false" outlineLevel="0" collapsed="false">
      <c r="A14" s="20" t="s">
        <v>99</v>
      </c>
      <c r="B14" s="21" t="s">
        <v>552</v>
      </c>
      <c r="C14" s="21" t="s">
        <v>212</v>
      </c>
      <c r="D14" s="21" t="s">
        <v>275</v>
      </c>
      <c r="E14" s="21" t="s">
        <v>10</v>
      </c>
      <c r="F14" s="21" t="s">
        <v>214</v>
      </c>
      <c r="G14" s="21"/>
      <c r="H14" s="21"/>
      <c r="I14" s="22" t="s">
        <v>12</v>
      </c>
      <c r="J14" s="21" t="s">
        <v>563</v>
      </c>
      <c r="K14" s="21"/>
    </row>
    <row r="15" customFormat="false" ht="15" hidden="false" customHeight="false" outlineLevel="0" collapsed="false">
      <c r="A15" s="20" t="s">
        <v>99</v>
      </c>
      <c r="B15" s="21" t="s">
        <v>565</v>
      </c>
      <c r="C15" s="21" t="s">
        <v>212</v>
      </c>
      <c r="D15" s="21" t="s">
        <v>275</v>
      </c>
      <c r="E15" s="21" t="s">
        <v>10</v>
      </c>
      <c r="F15" s="21" t="s">
        <v>214</v>
      </c>
      <c r="G15" s="21"/>
      <c r="H15" s="21"/>
      <c r="I15" s="22" t="s">
        <v>12</v>
      </c>
      <c r="J15" s="21" t="s">
        <v>100</v>
      </c>
      <c r="K15" s="21" t="s">
        <v>566</v>
      </c>
    </row>
    <row r="16" customFormat="false" ht="15" hidden="false" customHeight="false" outlineLevel="0" collapsed="false">
      <c r="A16" s="20" t="s">
        <v>99</v>
      </c>
      <c r="B16" s="21" t="s">
        <v>366</v>
      </c>
      <c r="C16" s="21" t="s">
        <v>212</v>
      </c>
      <c r="D16" s="21" t="s">
        <v>275</v>
      </c>
      <c r="E16" s="21" t="s">
        <v>34</v>
      </c>
      <c r="F16" s="21" t="s">
        <v>226</v>
      </c>
      <c r="G16" s="21"/>
      <c r="H16" s="21"/>
      <c r="I16" s="22" t="s">
        <v>12</v>
      </c>
      <c r="J16" s="21" t="s">
        <v>563</v>
      </c>
      <c r="K16" s="21" t="s">
        <v>567</v>
      </c>
    </row>
    <row r="17" customFormat="false" ht="23.85" hidden="false" customHeight="false" outlineLevel="0" collapsed="false">
      <c r="A17" s="20" t="s">
        <v>99</v>
      </c>
      <c r="B17" s="21" t="s">
        <v>568</v>
      </c>
      <c r="C17" s="21" t="s">
        <v>230</v>
      </c>
      <c r="D17" s="21"/>
      <c r="E17" s="21"/>
      <c r="F17" s="21" t="s">
        <v>214</v>
      </c>
      <c r="G17" s="21" t="s">
        <v>569</v>
      </c>
      <c r="H17" s="21"/>
      <c r="I17" s="22" t="s">
        <v>12</v>
      </c>
      <c r="J17" s="21"/>
      <c r="K17" s="21" t="s">
        <v>570</v>
      </c>
    </row>
    <row r="18" customFormat="false" ht="15" hidden="false" customHeight="false" outlineLevel="0" collapsed="false">
      <c r="A18" s="20" t="s">
        <v>99</v>
      </c>
      <c r="B18" s="21" t="s">
        <v>571</v>
      </c>
      <c r="C18" s="21" t="s">
        <v>257</v>
      </c>
      <c r="D18" s="21"/>
      <c r="E18" s="21"/>
      <c r="F18" s="21" t="s">
        <v>214</v>
      </c>
      <c r="G18" s="21"/>
      <c r="H18" s="21"/>
      <c r="I18" s="22" t="s">
        <v>12</v>
      </c>
      <c r="J18" s="21" t="s">
        <v>563</v>
      </c>
      <c r="K18" s="21" t="s">
        <v>572</v>
      </c>
    </row>
    <row r="19" customFormat="false" ht="15" hidden="false" customHeight="false" outlineLevel="0" collapsed="false">
      <c r="A19" s="20" t="s">
        <v>99</v>
      </c>
      <c r="B19" s="21" t="s">
        <v>573</v>
      </c>
      <c r="C19" s="21" t="s">
        <v>335</v>
      </c>
      <c r="D19" s="21"/>
      <c r="E19" s="21"/>
      <c r="F19" s="21" t="s">
        <v>226</v>
      </c>
      <c r="G19" s="21"/>
      <c r="H19" s="21"/>
      <c r="I19" s="22" t="s">
        <v>12</v>
      </c>
      <c r="J19" s="21" t="s">
        <v>563</v>
      </c>
      <c r="K19" s="21" t="s">
        <v>574</v>
      </c>
    </row>
    <row r="20" customFormat="false" ht="15" hidden="false" customHeight="false" outlineLevel="0" collapsed="false">
      <c r="A20" s="20" t="s">
        <v>99</v>
      </c>
      <c r="B20" s="21" t="s">
        <v>479</v>
      </c>
      <c r="C20" s="21" t="s">
        <v>262</v>
      </c>
      <c r="D20" s="21"/>
      <c r="E20" s="21"/>
      <c r="F20" s="21" t="s">
        <v>214</v>
      </c>
      <c r="G20" s="21"/>
      <c r="H20" s="21" t="s">
        <v>270</v>
      </c>
      <c r="I20" s="22" t="s">
        <v>12</v>
      </c>
      <c r="J20" s="21"/>
      <c r="K20" s="21"/>
    </row>
    <row r="21" customFormat="false" ht="23.85" hidden="false" customHeight="false" outlineLevel="0" collapsed="false">
      <c r="A21" s="17" t="s">
        <v>102</v>
      </c>
      <c r="B21" s="17" t="s">
        <v>211</v>
      </c>
      <c r="C21" s="18" t="s">
        <v>212</v>
      </c>
      <c r="D21" s="18" t="s">
        <v>213</v>
      </c>
      <c r="E21" s="18"/>
      <c r="F21" s="18" t="s">
        <v>214</v>
      </c>
      <c r="G21" s="18"/>
      <c r="H21" s="18" t="s">
        <v>215</v>
      </c>
      <c r="I21" s="19" t="s">
        <v>12</v>
      </c>
      <c r="J21" s="18"/>
      <c r="K21" s="18" t="s">
        <v>216</v>
      </c>
    </row>
    <row r="22" customFormat="false" ht="15" hidden="false" customHeight="false" outlineLevel="0" collapsed="false">
      <c r="A22" s="20" t="s">
        <v>102</v>
      </c>
      <c r="B22" s="21" t="s">
        <v>552</v>
      </c>
      <c r="C22" s="21" t="s">
        <v>212</v>
      </c>
      <c r="D22" s="21" t="s">
        <v>275</v>
      </c>
      <c r="E22" s="21" t="s">
        <v>10</v>
      </c>
      <c r="F22" s="21" t="s">
        <v>214</v>
      </c>
      <c r="G22" s="21"/>
      <c r="H22" s="21"/>
      <c r="I22" s="22" t="s">
        <v>12</v>
      </c>
      <c r="J22" s="21" t="s">
        <v>575</v>
      </c>
      <c r="K22" s="21" t="s">
        <v>576</v>
      </c>
    </row>
    <row r="23" customFormat="false" ht="15" hidden="false" customHeight="false" outlineLevel="0" collapsed="false">
      <c r="A23" s="20" t="s">
        <v>102</v>
      </c>
      <c r="B23" s="21" t="s">
        <v>577</v>
      </c>
      <c r="C23" s="21" t="s">
        <v>212</v>
      </c>
      <c r="D23" s="21" t="s">
        <v>275</v>
      </c>
      <c r="E23" s="21" t="s">
        <v>10</v>
      </c>
      <c r="F23" s="21" t="s">
        <v>214</v>
      </c>
      <c r="G23" s="21"/>
      <c r="H23" s="21"/>
      <c r="I23" s="22" t="s">
        <v>12</v>
      </c>
      <c r="J23" s="21" t="s">
        <v>575</v>
      </c>
      <c r="K23" s="21" t="s">
        <v>578</v>
      </c>
    </row>
    <row r="24" customFormat="false" ht="15" hidden="false" customHeight="false" outlineLevel="0" collapsed="false">
      <c r="A24" s="20" t="s">
        <v>102</v>
      </c>
      <c r="B24" s="21" t="s">
        <v>414</v>
      </c>
      <c r="C24" s="21" t="s">
        <v>306</v>
      </c>
      <c r="D24" s="21"/>
      <c r="E24" s="21"/>
      <c r="F24" s="21" t="s">
        <v>214</v>
      </c>
      <c r="G24" s="21"/>
      <c r="H24" s="21"/>
      <c r="I24" s="22" t="s">
        <v>12</v>
      </c>
      <c r="J24" s="21" t="s">
        <v>575</v>
      </c>
      <c r="K24" s="21"/>
    </row>
    <row r="25" customFormat="false" ht="15" hidden="false" customHeight="false" outlineLevel="0" collapsed="false">
      <c r="A25" s="20" t="s">
        <v>102</v>
      </c>
      <c r="B25" s="21" t="s">
        <v>334</v>
      </c>
      <c r="C25" s="21" t="s">
        <v>335</v>
      </c>
      <c r="D25" s="21"/>
      <c r="E25" s="21"/>
      <c r="F25" s="21" t="s">
        <v>214</v>
      </c>
      <c r="G25" s="21"/>
      <c r="H25" s="21"/>
      <c r="I25" s="22" t="s">
        <v>12</v>
      </c>
      <c r="J25" s="21" t="s">
        <v>575</v>
      </c>
      <c r="K25" s="21"/>
    </row>
    <row r="26" customFormat="false" ht="15" hidden="false" customHeight="false" outlineLevel="0" collapsed="false">
      <c r="A26" s="20" t="s">
        <v>102</v>
      </c>
      <c r="B26" s="21" t="s">
        <v>325</v>
      </c>
      <c r="C26" s="21" t="s">
        <v>233</v>
      </c>
      <c r="D26" s="21"/>
      <c r="E26" s="21"/>
      <c r="F26" s="21" t="s">
        <v>214</v>
      </c>
      <c r="G26" s="21"/>
      <c r="H26" s="21" t="s">
        <v>326</v>
      </c>
      <c r="I26" s="22" t="s">
        <v>12</v>
      </c>
      <c r="J26" s="21" t="s">
        <v>579</v>
      </c>
      <c r="K26" s="21" t="s">
        <v>580</v>
      </c>
    </row>
    <row r="27" customFormat="false" ht="15" hidden="false" customHeight="false" outlineLevel="0" collapsed="false">
      <c r="A27" s="20" t="s">
        <v>102</v>
      </c>
      <c r="B27" s="21" t="s">
        <v>479</v>
      </c>
      <c r="C27" s="21" t="s">
        <v>262</v>
      </c>
      <c r="D27" s="21"/>
      <c r="E27" s="21"/>
      <c r="F27" s="21" t="s">
        <v>214</v>
      </c>
      <c r="G27" s="21"/>
      <c r="H27" s="21" t="s">
        <v>270</v>
      </c>
      <c r="I27" s="22" t="s">
        <v>12</v>
      </c>
      <c r="J27" s="21"/>
      <c r="K27" s="21"/>
    </row>
    <row r="28" customFormat="false" ht="15" hidden="false" customHeight="false" outlineLevel="0" collapsed="false">
      <c r="A28" s="20" t="s">
        <v>102</v>
      </c>
      <c r="B28" s="21" t="s">
        <v>581</v>
      </c>
      <c r="C28" s="21" t="s">
        <v>335</v>
      </c>
      <c r="D28" s="21"/>
      <c r="E28" s="21"/>
      <c r="F28" s="21" t="s">
        <v>226</v>
      </c>
      <c r="G28" s="21"/>
      <c r="H28" s="21"/>
      <c r="I28" s="23" t="s">
        <v>25</v>
      </c>
      <c r="J28" s="21" t="s">
        <v>579</v>
      </c>
      <c r="K28" s="21"/>
    </row>
    <row r="29" customFormat="false" ht="15" hidden="false" customHeight="false" outlineLevel="0" collapsed="false">
      <c r="A29" s="20" t="s">
        <v>102</v>
      </c>
      <c r="B29" s="21" t="s">
        <v>582</v>
      </c>
      <c r="C29" s="21" t="s">
        <v>212</v>
      </c>
      <c r="D29" s="21" t="s">
        <v>275</v>
      </c>
      <c r="E29" s="21" t="s">
        <v>10</v>
      </c>
      <c r="F29" s="21" t="s">
        <v>226</v>
      </c>
      <c r="G29" s="21"/>
      <c r="H29" s="21"/>
      <c r="I29" s="23" t="s">
        <v>25</v>
      </c>
      <c r="J29" s="21" t="s">
        <v>579</v>
      </c>
      <c r="K29" s="21" t="s">
        <v>583</v>
      </c>
    </row>
    <row r="30" customFormat="false" ht="15" hidden="false" customHeight="false" outlineLevel="0" collapsed="false">
      <c r="A30" s="20" t="s">
        <v>102</v>
      </c>
      <c r="B30" s="21" t="s">
        <v>584</v>
      </c>
      <c r="C30" s="21" t="s">
        <v>262</v>
      </c>
      <c r="D30" s="21"/>
      <c r="E30" s="21"/>
      <c r="F30" s="21" t="s">
        <v>226</v>
      </c>
      <c r="G30" s="21"/>
      <c r="H30" s="21"/>
      <c r="I30" s="23" t="s">
        <v>25</v>
      </c>
      <c r="J30" s="21" t="s">
        <v>579</v>
      </c>
      <c r="K30" s="21"/>
    </row>
    <row r="31" customFormat="false" ht="23.85" hidden="false" customHeight="false" outlineLevel="0" collapsed="false">
      <c r="A31" s="17" t="s">
        <v>105</v>
      </c>
      <c r="B31" s="17" t="s">
        <v>211</v>
      </c>
      <c r="C31" s="18" t="s">
        <v>212</v>
      </c>
      <c r="D31" s="18" t="s">
        <v>213</v>
      </c>
      <c r="E31" s="18"/>
      <c r="F31" s="18" t="s">
        <v>214</v>
      </c>
      <c r="G31" s="18"/>
      <c r="H31" s="18" t="s">
        <v>215</v>
      </c>
      <c r="I31" s="24" t="s">
        <v>25</v>
      </c>
      <c r="J31" s="18"/>
      <c r="K31" s="18" t="s">
        <v>216</v>
      </c>
    </row>
    <row r="32" customFormat="false" ht="15" hidden="false" customHeight="false" outlineLevel="0" collapsed="false">
      <c r="A32" s="20" t="s">
        <v>105</v>
      </c>
      <c r="B32" s="21" t="s">
        <v>274</v>
      </c>
      <c r="C32" s="21" t="s">
        <v>212</v>
      </c>
      <c r="D32" s="21" t="s">
        <v>275</v>
      </c>
      <c r="E32" s="21" t="s">
        <v>10</v>
      </c>
      <c r="F32" s="21" t="s">
        <v>214</v>
      </c>
      <c r="G32" s="21"/>
      <c r="H32" s="21"/>
      <c r="I32" s="23" t="s">
        <v>25</v>
      </c>
      <c r="J32" s="21" t="s">
        <v>585</v>
      </c>
      <c r="K32" s="21" t="s">
        <v>586</v>
      </c>
    </row>
    <row r="33" customFormat="false" ht="15" hidden="false" customHeight="false" outlineLevel="0" collapsed="false">
      <c r="A33" s="20" t="s">
        <v>105</v>
      </c>
      <c r="B33" s="21" t="s">
        <v>587</v>
      </c>
      <c r="C33" s="21" t="s">
        <v>212</v>
      </c>
      <c r="D33" s="21" t="s">
        <v>275</v>
      </c>
      <c r="E33" s="21" t="s">
        <v>102</v>
      </c>
      <c r="F33" s="21" t="s">
        <v>226</v>
      </c>
      <c r="G33" s="21"/>
      <c r="H33" s="21"/>
      <c r="I33" s="23" t="s">
        <v>25</v>
      </c>
      <c r="J33" s="21" t="s">
        <v>585</v>
      </c>
      <c r="K33" s="21" t="s">
        <v>588</v>
      </c>
    </row>
    <row r="34" customFormat="false" ht="15" hidden="false" customHeight="false" outlineLevel="0" collapsed="false">
      <c r="A34" s="20" t="s">
        <v>105</v>
      </c>
      <c r="B34" s="21" t="s">
        <v>589</v>
      </c>
      <c r="C34" s="21" t="s">
        <v>212</v>
      </c>
      <c r="D34" s="21" t="s">
        <v>275</v>
      </c>
      <c r="E34" s="21" t="s">
        <v>10</v>
      </c>
      <c r="F34" s="21" t="s">
        <v>214</v>
      </c>
      <c r="G34" s="21"/>
      <c r="H34" s="21"/>
      <c r="I34" s="23" t="s">
        <v>25</v>
      </c>
      <c r="J34" s="21" t="s">
        <v>585</v>
      </c>
      <c r="K34" s="21" t="s">
        <v>590</v>
      </c>
    </row>
    <row r="35" customFormat="false" ht="15" hidden="false" customHeight="false" outlineLevel="0" collapsed="false">
      <c r="A35" s="20" t="s">
        <v>105</v>
      </c>
      <c r="B35" s="21" t="s">
        <v>276</v>
      </c>
      <c r="C35" s="21" t="s">
        <v>230</v>
      </c>
      <c r="D35" s="21"/>
      <c r="E35" s="21"/>
      <c r="F35" s="21" t="s">
        <v>214</v>
      </c>
      <c r="G35" s="21"/>
      <c r="H35" s="21"/>
      <c r="I35" s="23" t="s">
        <v>25</v>
      </c>
      <c r="J35" s="21" t="s">
        <v>585</v>
      </c>
      <c r="K35" s="21" t="s">
        <v>591</v>
      </c>
    </row>
    <row r="36" customFormat="false" ht="15" hidden="false" customHeight="false" outlineLevel="0" collapsed="false">
      <c r="A36" s="20" t="s">
        <v>105</v>
      </c>
      <c r="B36" s="21" t="s">
        <v>414</v>
      </c>
      <c r="C36" s="21" t="s">
        <v>335</v>
      </c>
      <c r="D36" s="21"/>
      <c r="E36" s="21"/>
      <c r="F36" s="21" t="s">
        <v>214</v>
      </c>
      <c r="G36" s="21"/>
      <c r="H36" s="21"/>
      <c r="I36" s="23" t="s">
        <v>25</v>
      </c>
      <c r="J36" s="21" t="s">
        <v>585</v>
      </c>
      <c r="K36" s="21" t="s">
        <v>592</v>
      </c>
    </row>
    <row r="37" customFormat="false" ht="15" hidden="false" customHeight="false" outlineLevel="0" collapsed="false">
      <c r="A37" s="20" t="s">
        <v>105</v>
      </c>
      <c r="B37" s="21" t="s">
        <v>405</v>
      </c>
      <c r="C37" s="21" t="s">
        <v>262</v>
      </c>
      <c r="D37" s="21"/>
      <c r="E37" s="21"/>
      <c r="F37" s="21" t="s">
        <v>214</v>
      </c>
      <c r="G37" s="21"/>
      <c r="H37" s="21" t="s">
        <v>270</v>
      </c>
      <c r="I37" s="23" t="s">
        <v>25</v>
      </c>
      <c r="J37" s="21"/>
      <c r="K37" s="21"/>
    </row>
    <row r="38" customFormat="false" ht="15" hidden="false" customHeight="false" outlineLevel="0" collapsed="false">
      <c r="A38" s="20" t="s">
        <v>105</v>
      </c>
      <c r="B38" s="21" t="s">
        <v>406</v>
      </c>
      <c r="C38" s="21" t="s">
        <v>262</v>
      </c>
      <c r="D38" s="21"/>
      <c r="E38" s="21"/>
      <c r="F38" s="21" t="s">
        <v>226</v>
      </c>
      <c r="G38" s="21"/>
      <c r="H38" s="21"/>
      <c r="I38" s="23" t="s">
        <v>25</v>
      </c>
      <c r="J38" s="21"/>
      <c r="K38" s="21" t="s">
        <v>593</v>
      </c>
    </row>
    <row r="39" customFormat="false" ht="23.85" hidden="false" customHeight="false" outlineLevel="0" collapsed="false">
      <c r="A39" s="17" t="s">
        <v>108</v>
      </c>
      <c r="B39" s="17" t="s">
        <v>211</v>
      </c>
      <c r="C39" s="18" t="s">
        <v>212</v>
      </c>
      <c r="D39" s="18" t="s">
        <v>213</v>
      </c>
      <c r="E39" s="18"/>
      <c r="F39" s="18" t="s">
        <v>214</v>
      </c>
      <c r="G39" s="18"/>
      <c r="H39" s="18" t="s">
        <v>215</v>
      </c>
      <c r="I39" s="19" t="s">
        <v>12</v>
      </c>
      <c r="J39" s="18"/>
      <c r="K39" s="18" t="s">
        <v>216</v>
      </c>
    </row>
    <row r="40" customFormat="false" ht="15" hidden="false" customHeight="false" outlineLevel="0" collapsed="false">
      <c r="A40" s="20" t="s">
        <v>108</v>
      </c>
      <c r="B40" s="21" t="s">
        <v>274</v>
      </c>
      <c r="C40" s="21" t="s">
        <v>212</v>
      </c>
      <c r="D40" s="21" t="s">
        <v>275</v>
      </c>
      <c r="E40" s="21" t="s">
        <v>10</v>
      </c>
      <c r="F40" s="21" t="s">
        <v>214</v>
      </c>
      <c r="G40" s="21"/>
      <c r="H40" s="21"/>
      <c r="I40" s="22" t="s">
        <v>12</v>
      </c>
      <c r="J40" s="21"/>
      <c r="K40" s="21"/>
    </row>
    <row r="41" customFormat="false" ht="15" hidden="false" customHeight="false" outlineLevel="0" collapsed="false">
      <c r="A41" s="20" t="s">
        <v>108</v>
      </c>
      <c r="B41" s="21" t="s">
        <v>466</v>
      </c>
      <c r="C41" s="21" t="s">
        <v>212</v>
      </c>
      <c r="D41" s="21" t="s">
        <v>275</v>
      </c>
      <c r="E41" s="21" t="s">
        <v>56</v>
      </c>
      <c r="F41" s="21" t="s">
        <v>226</v>
      </c>
      <c r="G41" s="21"/>
      <c r="H41" s="21"/>
      <c r="I41" s="22" t="s">
        <v>12</v>
      </c>
      <c r="J41" s="21"/>
      <c r="K41" s="21" t="s">
        <v>594</v>
      </c>
    </row>
    <row r="42" customFormat="false" ht="15" hidden="false" customHeight="false" outlineLevel="0" collapsed="false">
      <c r="A42" s="20" t="s">
        <v>108</v>
      </c>
      <c r="B42" s="21" t="s">
        <v>587</v>
      </c>
      <c r="C42" s="21" t="s">
        <v>212</v>
      </c>
      <c r="D42" s="21" t="s">
        <v>275</v>
      </c>
      <c r="E42" s="21" t="s">
        <v>102</v>
      </c>
      <c r="F42" s="21" t="s">
        <v>226</v>
      </c>
      <c r="G42" s="21"/>
      <c r="H42" s="21"/>
      <c r="I42" s="22" t="s">
        <v>12</v>
      </c>
      <c r="J42" s="21"/>
      <c r="K42" s="21" t="s">
        <v>595</v>
      </c>
    </row>
    <row r="43" customFormat="false" ht="15" hidden="false" customHeight="false" outlineLevel="0" collapsed="false">
      <c r="A43" s="20" t="s">
        <v>108</v>
      </c>
      <c r="B43" s="21" t="s">
        <v>596</v>
      </c>
      <c r="C43" s="21" t="s">
        <v>230</v>
      </c>
      <c r="D43" s="21"/>
      <c r="E43" s="21"/>
      <c r="F43" s="21" t="s">
        <v>214</v>
      </c>
      <c r="G43" s="21"/>
      <c r="H43" s="21"/>
      <c r="I43" s="22" t="s">
        <v>12</v>
      </c>
      <c r="J43" s="21"/>
      <c r="K43" s="21" t="s">
        <v>597</v>
      </c>
    </row>
    <row r="44" customFormat="false" ht="15" hidden="false" customHeight="false" outlineLevel="0" collapsed="false">
      <c r="A44" s="20" t="s">
        <v>108</v>
      </c>
      <c r="B44" s="21" t="s">
        <v>598</v>
      </c>
      <c r="C44" s="21" t="s">
        <v>221</v>
      </c>
      <c r="D44" s="21"/>
      <c r="E44" s="21"/>
      <c r="F44" s="21" t="s">
        <v>214</v>
      </c>
      <c r="G44" s="21"/>
      <c r="H44" s="21"/>
      <c r="I44" s="22" t="s">
        <v>12</v>
      </c>
      <c r="J44" s="21"/>
      <c r="K44" s="21"/>
    </row>
    <row r="45" customFormat="false" ht="15" hidden="false" customHeight="false" outlineLevel="0" collapsed="false">
      <c r="A45" s="20" t="s">
        <v>108</v>
      </c>
      <c r="B45" s="21" t="s">
        <v>334</v>
      </c>
      <c r="C45" s="21" t="s">
        <v>335</v>
      </c>
      <c r="D45" s="21"/>
      <c r="E45" s="21"/>
      <c r="F45" s="21" t="s">
        <v>214</v>
      </c>
      <c r="G45" s="21"/>
      <c r="H45" s="21"/>
      <c r="I45" s="22" t="s">
        <v>12</v>
      </c>
      <c r="J45" s="21"/>
      <c r="K45" s="21"/>
    </row>
    <row r="46" customFormat="false" ht="15" hidden="false" customHeight="false" outlineLevel="0" collapsed="false">
      <c r="A46" s="20" t="s">
        <v>108</v>
      </c>
      <c r="B46" s="21" t="s">
        <v>325</v>
      </c>
      <c r="C46" s="21" t="s">
        <v>233</v>
      </c>
      <c r="D46" s="21"/>
      <c r="E46" s="21"/>
      <c r="F46" s="21" t="s">
        <v>214</v>
      </c>
      <c r="G46" s="21"/>
      <c r="H46" s="21" t="s">
        <v>599</v>
      </c>
      <c r="I46" s="22" t="s">
        <v>12</v>
      </c>
      <c r="J46" s="21"/>
      <c r="K46" s="21" t="s">
        <v>600</v>
      </c>
    </row>
    <row r="47" customFormat="false" ht="15" hidden="false" customHeight="false" outlineLevel="0" collapsed="false">
      <c r="A47" s="20" t="s">
        <v>108</v>
      </c>
      <c r="B47" s="21" t="s">
        <v>601</v>
      </c>
      <c r="C47" s="21" t="s">
        <v>212</v>
      </c>
      <c r="D47" s="21" t="s">
        <v>275</v>
      </c>
      <c r="E47" s="21" t="s">
        <v>10</v>
      </c>
      <c r="F47" s="21" t="s">
        <v>226</v>
      </c>
      <c r="G47" s="21"/>
      <c r="H47" s="21"/>
      <c r="I47" s="22" t="s">
        <v>12</v>
      </c>
      <c r="J47" s="21"/>
      <c r="K47" s="21" t="s">
        <v>602</v>
      </c>
    </row>
    <row r="48" customFormat="false" ht="15" hidden="false" customHeight="false" outlineLevel="0" collapsed="false">
      <c r="A48" s="20" t="s">
        <v>108</v>
      </c>
      <c r="B48" s="21" t="s">
        <v>603</v>
      </c>
      <c r="C48" s="21" t="s">
        <v>335</v>
      </c>
      <c r="D48" s="21"/>
      <c r="E48" s="21"/>
      <c r="F48" s="21" t="s">
        <v>226</v>
      </c>
      <c r="G48" s="21"/>
      <c r="H48" s="21"/>
      <c r="I48" s="22" t="s">
        <v>12</v>
      </c>
      <c r="J48" s="21"/>
      <c r="K48" s="21"/>
    </row>
    <row r="49" customFormat="false" ht="15" hidden="false" customHeight="false" outlineLevel="0" collapsed="false">
      <c r="A49" s="20" t="s">
        <v>108</v>
      </c>
      <c r="B49" s="21" t="s">
        <v>287</v>
      </c>
      <c r="C49" s="21" t="s">
        <v>262</v>
      </c>
      <c r="D49" s="21"/>
      <c r="E49" s="21"/>
      <c r="F49" s="21" t="s">
        <v>214</v>
      </c>
      <c r="G49" s="21"/>
      <c r="H49" s="21" t="s">
        <v>270</v>
      </c>
      <c r="I49" s="22" t="s">
        <v>12</v>
      </c>
      <c r="J49" s="21"/>
      <c r="K49" s="21"/>
    </row>
    <row r="50" customFormat="false" ht="15" hidden="false" customHeight="false" outlineLevel="0" collapsed="false">
      <c r="A50" s="20" t="s">
        <v>108</v>
      </c>
      <c r="B50" s="21" t="s">
        <v>604</v>
      </c>
      <c r="C50" s="21" t="s">
        <v>262</v>
      </c>
      <c r="D50" s="21"/>
      <c r="E50" s="21"/>
      <c r="F50" s="21" t="s">
        <v>226</v>
      </c>
      <c r="G50" s="21"/>
      <c r="H50" s="21"/>
      <c r="I50" s="22" t="s">
        <v>12</v>
      </c>
      <c r="J50" s="21"/>
      <c r="K50" s="21"/>
    </row>
    <row r="51" customFormat="false" ht="23.85" hidden="false" customHeight="false" outlineLevel="0" collapsed="false">
      <c r="A51" s="17" t="s">
        <v>111</v>
      </c>
      <c r="B51" s="17" t="s">
        <v>211</v>
      </c>
      <c r="C51" s="18" t="s">
        <v>212</v>
      </c>
      <c r="D51" s="18" t="s">
        <v>213</v>
      </c>
      <c r="E51" s="18"/>
      <c r="F51" s="18" t="s">
        <v>214</v>
      </c>
      <c r="G51" s="18"/>
      <c r="H51" s="18" t="s">
        <v>215</v>
      </c>
      <c r="I51" s="19" t="s">
        <v>12</v>
      </c>
      <c r="J51" s="18"/>
      <c r="K51" s="18" t="s">
        <v>216</v>
      </c>
    </row>
    <row r="52" customFormat="false" ht="15" hidden="false" customHeight="false" outlineLevel="0" collapsed="false">
      <c r="A52" s="20" t="s">
        <v>111</v>
      </c>
      <c r="B52" s="21" t="s">
        <v>274</v>
      </c>
      <c r="C52" s="21" t="s">
        <v>212</v>
      </c>
      <c r="D52" s="21" t="s">
        <v>275</v>
      </c>
      <c r="E52" s="21" t="s">
        <v>10</v>
      </c>
      <c r="F52" s="21" t="s">
        <v>214</v>
      </c>
      <c r="G52" s="21"/>
      <c r="H52" s="21"/>
      <c r="I52" s="22" t="s">
        <v>12</v>
      </c>
      <c r="J52" s="21"/>
      <c r="K52" s="21"/>
    </row>
    <row r="53" customFormat="false" ht="15" hidden="false" customHeight="false" outlineLevel="0" collapsed="false">
      <c r="A53" s="20" t="s">
        <v>111</v>
      </c>
      <c r="B53" s="21" t="s">
        <v>466</v>
      </c>
      <c r="C53" s="21" t="s">
        <v>212</v>
      </c>
      <c r="D53" s="21" t="s">
        <v>275</v>
      </c>
      <c r="E53" s="21" t="s">
        <v>56</v>
      </c>
      <c r="F53" s="21" t="s">
        <v>226</v>
      </c>
      <c r="G53" s="21"/>
      <c r="H53" s="21"/>
      <c r="I53" s="22" t="s">
        <v>12</v>
      </c>
      <c r="J53" s="21"/>
      <c r="K53" s="21"/>
    </row>
    <row r="54" customFormat="false" ht="35.05" hidden="false" customHeight="false" outlineLevel="0" collapsed="false">
      <c r="A54" s="20" t="s">
        <v>111</v>
      </c>
      <c r="B54" s="21" t="s">
        <v>276</v>
      </c>
      <c r="C54" s="21" t="s">
        <v>309</v>
      </c>
      <c r="D54" s="21"/>
      <c r="E54" s="21"/>
      <c r="F54" s="21" t="s">
        <v>214</v>
      </c>
      <c r="G54" s="21"/>
      <c r="H54" s="21"/>
      <c r="I54" s="22" t="s">
        <v>12</v>
      </c>
      <c r="J54" s="21" t="s">
        <v>605</v>
      </c>
      <c r="K54" s="21" t="s">
        <v>606</v>
      </c>
    </row>
    <row r="55" customFormat="false" ht="15" hidden="false" customHeight="false" outlineLevel="0" collapsed="false">
      <c r="A55" s="20" t="s">
        <v>111</v>
      </c>
      <c r="B55" s="21" t="s">
        <v>596</v>
      </c>
      <c r="C55" s="21" t="s">
        <v>291</v>
      </c>
      <c r="D55" s="21"/>
      <c r="E55" s="21"/>
      <c r="F55" s="21" t="s">
        <v>214</v>
      </c>
      <c r="G55" s="21"/>
      <c r="H55" s="21"/>
      <c r="I55" s="22" t="s">
        <v>12</v>
      </c>
      <c r="J55" s="21"/>
      <c r="K55" s="21" t="s">
        <v>607</v>
      </c>
    </row>
    <row r="56" customFormat="false" ht="15" hidden="false" customHeight="false" outlineLevel="0" collapsed="false">
      <c r="A56" s="20" t="s">
        <v>111</v>
      </c>
      <c r="B56" s="21" t="s">
        <v>608</v>
      </c>
      <c r="C56" s="21" t="s">
        <v>218</v>
      </c>
      <c r="D56" s="21"/>
      <c r="E56" s="21"/>
      <c r="F56" s="21" t="s">
        <v>214</v>
      </c>
      <c r="G56" s="21"/>
      <c r="H56" s="21"/>
      <c r="I56" s="22" t="s">
        <v>12</v>
      </c>
      <c r="J56" s="21"/>
      <c r="K56" s="21"/>
    </row>
    <row r="57" customFormat="false" ht="15" hidden="false" customHeight="false" outlineLevel="0" collapsed="false">
      <c r="A57" s="20" t="s">
        <v>111</v>
      </c>
      <c r="B57" s="21" t="s">
        <v>555</v>
      </c>
      <c r="C57" s="21" t="s">
        <v>335</v>
      </c>
      <c r="D57" s="21"/>
      <c r="E57" s="21"/>
      <c r="F57" s="21" t="s">
        <v>214</v>
      </c>
      <c r="G57" s="21"/>
      <c r="H57" s="21"/>
      <c r="I57" s="22" t="s">
        <v>12</v>
      </c>
      <c r="J57" s="21"/>
      <c r="K57" s="21"/>
    </row>
    <row r="58" customFormat="false" ht="15" hidden="false" customHeight="false" outlineLevel="0" collapsed="false">
      <c r="A58" s="20" t="s">
        <v>111</v>
      </c>
      <c r="B58" s="21" t="s">
        <v>609</v>
      </c>
      <c r="C58" s="21" t="s">
        <v>244</v>
      </c>
      <c r="D58" s="21"/>
      <c r="E58" s="21"/>
      <c r="F58" s="21" t="s">
        <v>214</v>
      </c>
      <c r="G58" s="21"/>
      <c r="H58" s="21" t="s">
        <v>245</v>
      </c>
      <c r="I58" s="22" t="s">
        <v>12</v>
      </c>
      <c r="J58" s="21"/>
      <c r="K58" s="21"/>
    </row>
    <row r="59" customFormat="false" ht="15" hidden="false" customHeight="false" outlineLevel="0" collapsed="false">
      <c r="A59" s="20" t="s">
        <v>111</v>
      </c>
      <c r="B59" s="21" t="s">
        <v>560</v>
      </c>
      <c r="C59" s="21" t="s">
        <v>262</v>
      </c>
      <c r="D59" s="21"/>
      <c r="E59" s="21"/>
      <c r="F59" s="21" t="s">
        <v>214</v>
      </c>
      <c r="G59" s="21"/>
      <c r="H59" s="21" t="s">
        <v>270</v>
      </c>
      <c r="I59" s="22" t="s">
        <v>12</v>
      </c>
      <c r="J59" s="21"/>
      <c r="K59" s="21"/>
    </row>
    <row r="60" customFormat="false" ht="23.85" hidden="false" customHeight="false" outlineLevel="0" collapsed="false">
      <c r="A60" s="17" t="s">
        <v>114</v>
      </c>
      <c r="B60" s="17" t="s">
        <v>274</v>
      </c>
      <c r="C60" s="18" t="s">
        <v>212</v>
      </c>
      <c r="D60" s="18" t="s">
        <v>478</v>
      </c>
      <c r="E60" s="18" t="s">
        <v>10</v>
      </c>
      <c r="F60" s="18" t="s">
        <v>214</v>
      </c>
      <c r="G60" s="18"/>
      <c r="H60" s="18"/>
      <c r="I60" s="25" t="s">
        <v>67</v>
      </c>
      <c r="J60" s="18"/>
      <c r="K60" s="18"/>
    </row>
    <row r="61" customFormat="false" ht="23.85" hidden="false" customHeight="false" outlineLevel="0" collapsed="false">
      <c r="A61" s="20" t="s">
        <v>114</v>
      </c>
      <c r="B61" s="20" t="s">
        <v>276</v>
      </c>
      <c r="C61" s="21" t="s">
        <v>309</v>
      </c>
      <c r="D61" s="21" t="s">
        <v>213</v>
      </c>
      <c r="E61" s="21"/>
      <c r="F61" s="21" t="s">
        <v>214</v>
      </c>
      <c r="G61" s="21"/>
      <c r="H61" s="21"/>
      <c r="I61" s="26" t="s">
        <v>67</v>
      </c>
      <c r="J61" s="21"/>
      <c r="K61" s="21"/>
    </row>
    <row r="62" customFormat="false" ht="23.85" hidden="false" customHeight="false" outlineLevel="0" collapsed="false">
      <c r="A62" s="20" t="s">
        <v>114</v>
      </c>
      <c r="B62" s="20" t="s">
        <v>596</v>
      </c>
      <c r="C62" s="21" t="s">
        <v>291</v>
      </c>
      <c r="D62" s="21" t="s">
        <v>213</v>
      </c>
      <c r="E62" s="21"/>
      <c r="F62" s="21" t="s">
        <v>214</v>
      </c>
      <c r="G62" s="21"/>
      <c r="H62" s="21"/>
      <c r="I62" s="26" t="s">
        <v>67</v>
      </c>
      <c r="J62" s="21"/>
      <c r="K62" s="21"/>
    </row>
    <row r="63" customFormat="false" ht="23.85" hidden="false" customHeight="false" outlineLevel="0" collapsed="false">
      <c r="A63" s="20" t="s">
        <v>114</v>
      </c>
      <c r="B63" s="21" t="s">
        <v>293</v>
      </c>
      <c r="C63" s="21" t="s">
        <v>244</v>
      </c>
      <c r="D63" s="21"/>
      <c r="E63" s="21"/>
      <c r="F63" s="21" t="s">
        <v>214</v>
      </c>
      <c r="G63" s="21"/>
      <c r="H63" s="21" t="s">
        <v>294</v>
      </c>
      <c r="I63" s="26" t="s">
        <v>67</v>
      </c>
      <c r="J63" s="21"/>
      <c r="K63" s="21" t="s">
        <v>610</v>
      </c>
    </row>
  </sheetData>
  <autoFilter ref="A1:K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70"/>
  </cols>
  <sheetData>
    <row r="1" customFormat="false" ht="23.85" hidden="false" customHeight="false" outlineLevel="0" collapsed="false">
      <c r="A1" s="3" t="s">
        <v>2</v>
      </c>
      <c r="B1" s="3" t="s">
        <v>611</v>
      </c>
      <c r="C1" s="3" t="s">
        <v>612</v>
      </c>
      <c r="D1" s="3" t="s">
        <v>613</v>
      </c>
      <c r="E1" s="3" t="s">
        <v>614</v>
      </c>
      <c r="F1" s="3" t="s">
        <v>615</v>
      </c>
      <c r="G1" s="3" t="s">
        <v>616</v>
      </c>
    </row>
    <row r="2" customFormat="false" ht="15" hidden="false" customHeight="false" outlineLevel="0" collapsed="false">
      <c r="A2" s="4" t="n">
        <v>1</v>
      </c>
      <c r="B2" s="4" t="s">
        <v>15</v>
      </c>
      <c r="C2" s="4" t="s">
        <v>274</v>
      </c>
      <c r="D2" s="4" t="s">
        <v>10</v>
      </c>
      <c r="E2" s="4" t="s">
        <v>617</v>
      </c>
      <c r="F2" s="4" t="n">
        <v>1</v>
      </c>
      <c r="G2" s="4"/>
    </row>
    <row r="3" customFormat="false" ht="15" hidden="false" customHeight="false" outlineLevel="0" collapsed="false">
      <c r="A3" s="4" t="n">
        <v>2</v>
      </c>
      <c r="B3" s="4" t="s">
        <v>18</v>
      </c>
      <c r="C3" s="4" t="s">
        <v>274</v>
      </c>
      <c r="D3" s="4" t="s">
        <v>10</v>
      </c>
      <c r="E3" s="4" t="s">
        <v>617</v>
      </c>
      <c r="F3" s="4" t="n">
        <v>1</v>
      </c>
      <c r="G3" s="4"/>
    </row>
    <row r="4" customFormat="false" ht="15" hidden="false" customHeight="false" outlineLevel="0" collapsed="false">
      <c r="A4" s="4" t="n">
        <v>3</v>
      </c>
      <c r="B4" s="4" t="s">
        <v>21</v>
      </c>
      <c r="C4" s="4" t="s">
        <v>274</v>
      </c>
      <c r="D4" s="4" t="s">
        <v>10</v>
      </c>
      <c r="E4" s="4" t="s">
        <v>617</v>
      </c>
      <c r="F4" s="4" t="n">
        <v>1</v>
      </c>
      <c r="G4" s="4"/>
    </row>
    <row r="5" customFormat="false" ht="15" hidden="false" customHeight="false" outlineLevel="0" collapsed="false">
      <c r="A5" s="4" t="n">
        <v>4</v>
      </c>
      <c r="B5" s="4" t="s">
        <v>24</v>
      </c>
      <c r="C5" s="4" t="s">
        <v>274</v>
      </c>
      <c r="D5" s="4" t="s">
        <v>10</v>
      </c>
      <c r="E5" s="4" t="s">
        <v>617</v>
      </c>
      <c r="F5" s="4" t="n">
        <v>1</v>
      </c>
      <c r="G5" s="4"/>
    </row>
    <row r="6" customFormat="false" ht="15" hidden="false" customHeight="false" outlineLevel="0" collapsed="false">
      <c r="A6" s="4" t="n">
        <v>5</v>
      </c>
      <c r="B6" s="4" t="s">
        <v>28</v>
      </c>
      <c r="C6" s="4" t="s">
        <v>274</v>
      </c>
      <c r="D6" s="4" t="s">
        <v>10</v>
      </c>
      <c r="E6" s="4" t="s">
        <v>617</v>
      </c>
      <c r="F6" s="4" t="n">
        <v>1</v>
      </c>
      <c r="G6" s="4"/>
    </row>
    <row r="7" customFormat="false" ht="15" hidden="false" customHeight="false" outlineLevel="0" collapsed="false">
      <c r="A7" s="4" t="n">
        <v>6</v>
      </c>
      <c r="B7" s="4" t="s">
        <v>31</v>
      </c>
      <c r="C7" s="4" t="s">
        <v>274</v>
      </c>
      <c r="D7" s="4" t="s">
        <v>10</v>
      </c>
      <c r="E7" s="4" t="s">
        <v>617</v>
      </c>
      <c r="F7" s="4" t="n">
        <v>1</v>
      </c>
      <c r="G7" s="4"/>
    </row>
    <row r="8" customFormat="false" ht="15" hidden="false" customHeight="false" outlineLevel="0" collapsed="false">
      <c r="A8" s="4" t="n">
        <v>7</v>
      </c>
      <c r="B8" s="4" t="s">
        <v>34</v>
      </c>
      <c r="C8" s="4" t="s">
        <v>330</v>
      </c>
      <c r="D8" s="4" t="s">
        <v>10</v>
      </c>
      <c r="E8" s="4" t="s">
        <v>617</v>
      </c>
      <c r="F8" s="4" t="n">
        <v>1</v>
      </c>
      <c r="G8" s="4" t="s">
        <v>332</v>
      </c>
    </row>
    <row r="9" customFormat="false" ht="15" hidden="false" customHeight="false" outlineLevel="0" collapsed="false">
      <c r="A9" s="4" t="n">
        <v>8</v>
      </c>
      <c r="B9" s="4" t="s">
        <v>34</v>
      </c>
      <c r="C9" s="4" t="s">
        <v>362</v>
      </c>
      <c r="D9" s="4" t="s">
        <v>10</v>
      </c>
      <c r="E9" s="4" t="s">
        <v>618</v>
      </c>
      <c r="F9" s="4" t="n">
        <v>1</v>
      </c>
      <c r="G9" s="4" t="s">
        <v>363</v>
      </c>
    </row>
    <row r="10" customFormat="false" ht="15" hidden="false" customHeight="false" outlineLevel="0" collapsed="false">
      <c r="A10" s="4" t="n">
        <v>9</v>
      </c>
      <c r="B10" s="4" t="s">
        <v>41</v>
      </c>
      <c r="C10" s="4" t="s">
        <v>366</v>
      </c>
      <c r="D10" s="4" t="s">
        <v>34</v>
      </c>
      <c r="E10" s="4" t="s">
        <v>617</v>
      </c>
      <c r="F10" s="4" t="n">
        <v>2</v>
      </c>
      <c r="G10" s="4"/>
    </row>
    <row r="11" customFormat="false" ht="15" hidden="false" customHeight="false" outlineLevel="0" collapsed="false">
      <c r="A11" s="4" t="n">
        <v>10</v>
      </c>
      <c r="B11" s="4" t="s">
        <v>41</v>
      </c>
      <c r="C11" s="4" t="s">
        <v>367</v>
      </c>
      <c r="D11" s="4" t="s">
        <v>38</v>
      </c>
      <c r="E11" s="4" t="s">
        <v>617</v>
      </c>
      <c r="F11" s="4" t="n">
        <v>2</v>
      </c>
      <c r="G11" s="4"/>
    </row>
    <row r="12" customFormat="false" ht="15" hidden="false" customHeight="false" outlineLevel="0" collapsed="false">
      <c r="A12" s="4" t="n">
        <v>11</v>
      </c>
      <c r="B12" s="4" t="s">
        <v>44</v>
      </c>
      <c r="C12" s="4" t="s">
        <v>366</v>
      </c>
      <c r="D12" s="4" t="s">
        <v>34</v>
      </c>
      <c r="E12" s="4" t="s">
        <v>617</v>
      </c>
      <c r="F12" s="4" t="n">
        <v>2</v>
      </c>
      <c r="G12" s="4"/>
    </row>
    <row r="13" customFormat="false" ht="15" hidden="false" customHeight="false" outlineLevel="0" collapsed="false">
      <c r="A13" s="4" t="n">
        <v>12</v>
      </c>
      <c r="B13" s="4" t="s">
        <v>47</v>
      </c>
      <c r="C13" s="4" t="s">
        <v>366</v>
      </c>
      <c r="D13" s="4" t="s">
        <v>34</v>
      </c>
      <c r="E13" s="4" t="s">
        <v>618</v>
      </c>
      <c r="F13" s="4" t="n">
        <v>3</v>
      </c>
      <c r="G13" s="4" t="s">
        <v>382</v>
      </c>
    </row>
    <row r="14" customFormat="false" ht="23.85" hidden="false" customHeight="false" outlineLevel="0" collapsed="false">
      <c r="A14" s="4" t="n">
        <v>13</v>
      </c>
      <c r="B14" s="4" t="s">
        <v>47</v>
      </c>
      <c r="C14" s="4" t="s">
        <v>383</v>
      </c>
      <c r="D14" s="4" t="s">
        <v>41</v>
      </c>
      <c r="E14" s="4" t="s">
        <v>618</v>
      </c>
      <c r="F14" s="4" t="n">
        <v>3</v>
      </c>
      <c r="G14" s="4" t="s">
        <v>384</v>
      </c>
    </row>
    <row r="15" customFormat="false" ht="15" hidden="false" customHeight="false" outlineLevel="0" collapsed="false">
      <c r="A15" s="4" t="n">
        <v>14</v>
      </c>
      <c r="B15" s="4" t="s">
        <v>50</v>
      </c>
      <c r="C15" s="4" t="s">
        <v>366</v>
      </c>
      <c r="D15" s="4" t="s">
        <v>34</v>
      </c>
      <c r="E15" s="4" t="s">
        <v>617</v>
      </c>
      <c r="F15" s="4" t="n">
        <v>2</v>
      </c>
      <c r="G15" s="4"/>
    </row>
    <row r="16" customFormat="false" ht="15" hidden="false" customHeight="false" outlineLevel="0" collapsed="false">
      <c r="A16" s="4" t="n">
        <v>15</v>
      </c>
      <c r="B16" s="4" t="s">
        <v>53</v>
      </c>
      <c r="C16" s="4" t="s">
        <v>366</v>
      </c>
      <c r="D16" s="4" t="s">
        <v>34</v>
      </c>
      <c r="E16" s="4" t="s">
        <v>617</v>
      </c>
      <c r="F16" s="4" t="n">
        <v>3</v>
      </c>
      <c r="G16" s="4"/>
    </row>
    <row r="17" customFormat="false" ht="15" hidden="false" customHeight="false" outlineLevel="0" collapsed="false">
      <c r="A17" s="4" t="n">
        <v>16</v>
      </c>
      <c r="B17" s="4" t="s">
        <v>53</v>
      </c>
      <c r="C17" s="4" t="s">
        <v>383</v>
      </c>
      <c r="D17" s="4" t="s">
        <v>41</v>
      </c>
      <c r="E17" s="4" t="s">
        <v>618</v>
      </c>
      <c r="F17" s="4" t="n">
        <v>3</v>
      </c>
      <c r="G17" s="4" t="s">
        <v>413</v>
      </c>
    </row>
    <row r="18" customFormat="false" ht="15" hidden="false" customHeight="false" outlineLevel="0" collapsed="false">
      <c r="A18" s="4" t="n">
        <v>17</v>
      </c>
      <c r="B18" s="4" t="s">
        <v>56</v>
      </c>
      <c r="C18" s="4" t="s">
        <v>383</v>
      </c>
      <c r="D18" s="4" t="s">
        <v>41</v>
      </c>
      <c r="E18" s="4" t="s">
        <v>617</v>
      </c>
      <c r="F18" s="4" t="n">
        <v>4</v>
      </c>
      <c r="G18" s="4" t="s">
        <v>419</v>
      </c>
    </row>
    <row r="19" customFormat="false" ht="15" hidden="false" customHeight="false" outlineLevel="0" collapsed="false">
      <c r="A19" s="4" t="n">
        <v>18</v>
      </c>
      <c r="B19" s="4" t="s">
        <v>56</v>
      </c>
      <c r="C19" s="4" t="s">
        <v>420</v>
      </c>
      <c r="D19" s="4" t="s">
        <v>10</v>
      </c>
      <c r="E19" s="4" t="s">
        <v>617</v>
      </c>
      <c r="F19" s="4" t="n">
        <v>4</v>
      </c>
      <c r="G19" s="4" t="s">
        <v>421</v>
      </c>
    </row>
    <row r="20" customFormat="false" ht="15" hidden="false" customHeight="false" outlineLevel="0" collapsed="false">
      <c r="A20" s="4" t="n">
        <v>19</v>
      </c>
      <c r="B20" s="4" t="s">
        <v>56</v>
      </c>
      <c r="C20" s="4" t="s">
        <v>422</v>
      </c>
      <c r="D20" s="4" t="s">
        <v>28</v>
      </c>
      <c r="E20" s="4" t="s">
        <v>617</v>
      </c>
      <c r="F20" s="4" t="n">
        <v>4</v>
      </c>
      <c r="G20" s="4"/>
    </row>
    <row r="21" customFormat="false" ht="15" hidden="false" customHeight="false" outlineLevel="0" collapsed="false">
      <c r="A21" s="4" t="n">
        <v>20</v>
      </c>
      <c r="B21" s="4" t="s">
        <v>56</v>
      </c>
      <c r="C21" s="4" t="s">
        <v>423</v>
      </c>
      <c r="D21" s="4" t="s">
        <v>47</v>
      </c>
      <c r="E21" s="4" t="s">
        <v>617</v>
      </c>
      <c r="F21" s="4" t="n">
        <v>4</v>
      </c>
      <c r="G21" s="4" t="s">
        <v>425</v>
      </c>
    </row>
    <row r="22" customFormat="false" ht="15" hidden="false" customHeight="false" outlineLevel="0" collapsed="false">
      <c r="A22" s="4" t="n">
        <v>21</v>
      </c>
      <c r="B22" s="4" t="s">
        <v>56</v>
      </c>
      <c r="C22" s="4" t="s">
        <v>459</v>
      </c>
      <c r="D22" s="4" t="s">
        <v>10</v>
      </c>
      <c r="E22" s="4" t="s">
        <v>618</v>
      </c>
      <c r="F22" s="4" t="n">
        <v>4</v>
      </c>
      <c r="G22" s="4" t="s">
        <v>460</v>
      </c>
    </row>
    <row r="23" customFormat="false" ht="15" hidden="false" customHeight="false" outlineLevel="0" collapsed="false">
      <c r="A23" s="4" t="n">
        <v>22</v>
      </c>
      <c r="B23" s="4" t="s">
        <v>60</v>
      </c>
      <c r="C23" s="4" t="s">
        <v>466</v>
      </c>
      <c r="D23" s="4" t="s">
        <v>56</v>
      </c>
      <c r="E23" s="4" t="s">
        <v>617</v>
      </c>
      <c r="F23" s="4" t="n">
        <v>5</v>
      </c>
      <c r="G23" s="4"/>
    </row>
    <row r="24" customFormat="false" ht="15" hidden="false" customHeight="false" outlineLevel="0" collapsed="false">
      <c r="A24" s="4" t="n">
        <v>23</v>
      </c>
      <c r="B24" s="4" t="s">
        <v>63</v>
      </c>
      <c r="C24" s="4" t="s">
        <v>466</v>
      </c>
      <c r="D24" s="4" t="s">
        <v>56</v>
      </c>
      <c r="E24" s="4" t="s">
        <v>617</v>
      </c>
      <c r="F24" s="4" t="n">
        <v>5</v>
      </c>
      <c r="G24" s="4"/>
    </row>
    <row r="25" customFormat="false" ht="15" hidden="false" customHeight="false" outlineLevel="0" collapsed="false">
      <c r="A25" s="4" t="n">
        <v>24</v>
      </c>
      <c r="B25" s="4" t="s">
        <v>66</v>
      </c>
      <c r="C25" s="4" t="s">
        <v>274</v>
      </c>
      <c r="D25" s="4" t="s">
        <v>10</v>
      </c>
      <c r="E25" s="4" t="s">
        <v>617</v>
      </c>
      <c r="F25" s="4" t="n">
        <v>2</v>
      </c>
      <c r="G25" s="4"/>
    </row>
    <row r="26" customFormat="false" ht="15" hidden="false" customHeight="false" outlineLevel="0" collapsed="false">
      <c r="A26" s="4" t="n">
        <v>25</v>
      </c>
      <c r="B26" s="4" t="s">
        <v>66</v>
      </c>
      <c r="C26" s="4" t="s">
        <v>366</v>
      </c>
      <c r="D26" s="4" t="s">
        <v>34</v>
      </c>
      <c r="E26" s="4" t="s">
        <v>617</v>
      </c>
      <c r="F26" s="4" t="n">
        <v>2</v>
      </c>
      <c r="G26" s="4"/>
    </row>
    <row r="27" customFormat="false" ht="15" hidden="false" customHeight="false" outlineLevel="0" collapsed="false">
      <c r="A27" s="4" t="n">
        <v>26</v>
      </c>
      <c r="B27" s="4" t="s">
        <v>70</v>
      </c>
      <c r="C27" s="4" t="s">
        <v>466</v>
      </c>
      <c r="D27" s="4" t="s">
        <v>56</v>
      </c>
      <c r="E27" s="4" t="s">
        <v>617</v>
      </c>
      <c r="F27" s="4" t="n">
        <v>5</v>
      </c>
      <c r="G27" s="4" t="s">
        <v>481</v>
      </c>
    </row>
    <row r="28" customFormat="false" ht="15" hidden="false" customHeight="false" outlineLevel="0" collapsed="false">
      <c r="A28" s="4" t="n">
        <v>27</v>
      </c>
      <c r="B28" s="4" t="s">
        <v>70</v>
      </c>
      <c r="C28" s="4" t="s">
        <v>482</v>
      </c>
      <c r="D28" s="4" t="s">
        <v>86</v>
      </c>
      <c r="E28" s="4" t="s">
        <v>618</v>
      </c>
      <c r="F28" s="4" t="n">
        <v>5</v>
      </c>
      <c r="G28" s="4" t="s">
        <v>484</v>
      </c>
    </row>
    <row r="29" customFormat="false" ht="15" hidden="false" customHeight="false" outlineLevel="0" collapsed="false">
      <c r="A29" s="4" t="n">
        <v>28</v>
      </c>
      <c r="B29" s="4" t="s">
        <v>70</v>
      </c>
      <c r="C29" s="4" t="s">
        <v>485</v>
      </c>
      <c r="D29" s="4" t="s">
        <v>74</v>
      </c>
      <c r="E29" s="4" t="s">
        <v>617</v>
      </c>
      <c r="F29" s="4" t="n">
        <v>5</v>
      </c>
      <c r="G29" s="4" t="s">
        <v>487</v>
      </c>
    </row>
    <row r="30" customFormat="false" ht="15" hidden="false" customHeight="false" outlineLevel="0" collapsed="false">
      <c r="A30" s="4" t="n">
        <v>29</v>
      </c>
      <c r="B30" s="4" t="s">
        <v>77</v>
      </c>
      <c r="C30" s="4" t="s">
        <v>466</v>
      </c>
      <c r="D30" s="4" t="s">
        <v>56</v>
      </c>
      <c r="E30" s="4" t="s">
        <v>617</v>
      </c>
      <c r="F30" s="4" t="n">
        <v>6</v>
      </c>
      <c r="G30" s="4"/>
    </row>
    <row r="31" customFormat="false" ht="15" hidden="false" customHeight="false" outlineLevel="0" collapsed="false">
      <c r="A31" s="4" t="n">
        <v>30</v>
      </c>
      <c r="B31" s="4" t="s">
        <v>77</v>
      </c>
      <c r="C31" s="4" t="s">
        <v>517</v>
      </c>
      <c r="D31" s="4" t="s">
        <v>70</v>
      </c>
      <c r="E31" s="4" t="s">
        <v>618</v>
      </c>
      <c r="F31" s="4" t="n">
        <v>6</v>
      </c>
      <c r="G31" s="4" t="s">
        <v>518</v>
      </c>
    </row>
    <row r="32" customFormat="false" ht="15" hidden="false" customHeight="false" outlineLevel="0" collapsed="false">
      <c r="A32" s="4" t="n">
        <v>31</v>
      </c>
      <c r="B32" s="4" t="s">
        <v>80</v>
      </c>
      <c r="C32" s="4" t="s">
        <v>330</v>
      </c>
      <c r="D32" s="4" t="s">
        <v>10</v>
      </c>
      <c r="E32" s="4" t="s">
        <v>617</v>
      </c>
      <c r="F32" s="4" t="n">
        <v>5</v>
      </c>
      <c r="G32" s="4" t="s">
        <v>520</v>
      </c>
    </row>
    <row r="33" customFormat="false" ht="15" hidden="false" customHeight="false" outlineLevel="0" collapsed="false">
      <c r="A33" s="4" t="n">
        <v>32</v>
      </c>
      <c r="B33" s="4" t="s">
        <v>80</v>
      </c>
      <c r="C33" s="4" t="s">
        <v>466</v>
      </c>
      <c r="D33" s="4" t="s">
        <v>56</v>
      </c>
      <c r="E33" s="4" t="s">
        <v>617</v>
      </c>
      <c r="F33" s="4" t="n">
        <v>5</v>
      </c>
      <c r="G33" s="4" t="s">
        <v>521</v>
      </c>
    </row>
    <row r="34" customFormat="false" ht="15" hidden="false" customHeight="false" outlineLevel="0" collapsed="false">
      <c r="A34" s="4" t="n">
        <v>33</v>
      </c>
      <c r="B34" s="4" t="s">
        <v>80</v>
      </c>
      <c r="C34" s="4" t="s">
        <v>482</v>
      </c>
      <c r="D34" s="4" t="s">
        <v>86</v>
      </c>
      <c r="E34" s="4" t="s">
        <v>618</v>
      </c>
      <c r="F34" s="4" t="n">
        <v>5</v>
      </c>
      <c r="G34" s="4" t="s">
        <v>527</v>
      </c>
    </row>
    <row r="35" customFormat="false" ht="15" hidden="false" customHeight="false" outlineLevel="0" collapsed="false">
      <c r="A35" s="4" t="n">
        <v>34</v>
      </c>
      <c r="B35" s="4" t="s">
        <v>83</v>
      </c>
      <c r="C35" s="4" t="s">
        <v>330</v>
      </c>
      <c r="D35" s="4" t="s">
        <v>10</v>
      </c>
      <c r="E35" s="4" t="s">
        <v>617</v>
      </c>
      <c r="F35" s="4" t="n">
        <v>1</v>
      </c>
      <c r="G35" s="4"/>
    </row>
    <row r="36" customFormat="false" ht="15" hidden="false" customHeight="false" outlineLevel="0" collapsed="false">
      <c r="A36" s="4" t="n">
        <v>35</v>
      </c>
      <c r="B36" s="4" t="s">
        <v>86</v>
      </c>
      <c r="C36" s="4" t="s">
        <v>330</v>
      </c>
      <c r="D36" s="4" t="s">
        <v>10</v>
      </c>
      <c r="E36" s="4" t="s">
        <v>617</v>
      </c>
      <c r="F36" s="4" t="n">
        <v>2</v>
      </c>
      <c r="G36" s="4"/>
    </row>
    <row r="37" customFormat="false" ht="15" hidden="false" customHeight="false" outlineLevel="0" collapsed="false">
      <c r="A37" s="4" t="n">
        <v>36</v>
      </c>
      <c r="B37" s="4" t="s">
        <v>86</v>
      </c>
      <c r="C37" s="4" t="s">
        <v>531</v>
      </c>
      <c r="D37" s="4" t="s">
        <v>83</v>
      </c>
      <c r="E37" s="4" t="s">
        <v>617</v>
      </c>
      <c r="F37" s="4" t="n">
        <v>2</v>
      </c>
      <c r="G37" s="4"/>
    </row>
    <row r="38" customFormat="false" ht="15" hidden="false" customHeight="false" outlineLevel="0" collapsed="false">
      <c r="A38" s="4" t="n">
        <v>37</v>
      </c>
      <c r="B38" s="4" t="s">
        <v>89</v>
      </c>
      <c r="C38" s="4" t="s">
        <v>517</v>
      </c>
      <c r="D38" s="4" t="s">
        <v>70</v>
      </c>
      <c r="E38" s="4" t="s">
        <v>617</v>
      </c>
      <c r="F38" s="4" t="n">
        <v>6</v>
      </c>
      <c r="G38" s="4"/>
    </row>
    <row r="39" customFormat="false" ht="15" hidden="false" customHeight="false" outlineLevel="0" collapsed="false">
      <c r="A39" s="4" t="n">
        <v>38</v>
      </c>
      <c r="B39" s="4" t="s">
        <v>95</v>
      </c>
      <c r="C39" s="4" t="s">
        <v>466</v>
      </c>
      <c r="D39" s="4" t="s">
        <v>56</v>
      </c>
      <c r="E39" s="4" t="s">
        <v>617</v>
      </c>
      <c r="F39" s="4" t="n">
        <v>5</v>
      </c>
      <c r="G39" s="4"/>
    </row>
    <row r="40" customFormat="false" ht="15" hidden="false" customHeight="false" outlineLevel="0" collapsed="false">
      <c r="A40" s="4" t="n">
        <v>39</v>
      </c>
      <c r="B40" s="4" t="s">
        <v>95</v>
      </c>
      <c r="C40" s="4" t="s">
        <v>552</v>
      </c>
      <c r="D40" s="4" t="s">
        <v>10</v>
      </c>
      <c r="E40" s="4" t="s">
        <v>617</v>
      </c>
      <c r="F40" s="4" t="n">
        <v>5</v>
      </c>
      <c r="G40" s="4"/>
    </row>
    <row r="41" customFormat="false" ht="15" hidden="false" customHeight="false" outlineLevel="0" collapsed="false">
      <c r="A41" s="4" t="n">
        <v>40</v>
      </c>
      <c r="B41" s="4" t="s">
        <v>99</v>
      </c>
      <c r="C41" s="4" t="s">
        <v>466</v>
      </c>
      <c r="D41" s="4" t="s">
        <v>56</v>
      </c>
      <c r="E41" s="4" t="s">
        <v>617</v>
      </c>
      <c r="F41" s="4" t="n">
        <v>5</v>
      </c>
      <c r="G41" s="4" t="s">
        <v>564</v>
      </c>
    </row>
    <row r="42" customFormat="false" ht="15" hidden="false" customHeight="false" outlineLevel="0" collapsed="false">
      <c r="A42" s="4" t="n">
        <v>41</v>
      </c>
      <c r="B42" s="4" t="s">
        <v>99</v>
      </c>
      <c r="C42" s="4" t="s">
        <v>552</v>
      </c>
      <c r="D42" s="4" t="s">
        <v>10</v>
      </c>
      <c r="E42" s="4" t="s">
        <v>617</v>
      </c>
      <c r="F42" s="4" t="n">
        <v>5</v>
      </c>
      <c r="G42" s="4"/>
    </row>
    <row r="43" customFormat="false" ht="15" hidden="false" customHeight="false" outlineLevel="0" collapsed="false">
      <c r="A43" s="4" t="n">
        <v>42</v>
      </c>
      <c r="B43" s="4" t="s">
        <v>99</v>
      </c>
      <c r="C43" s="4" t="s">
        <v>565</v>
      </c>
      <c r="D43" s="4" t="s">
        <v>10</v>
      </c>
      <c r="E43" s="4" t="s">
        <v>617</v>
      </c>
      <c r="F43" s="4" t="n">
        <v>5</v>
      </c>
      <c r="G43" s="4" t="s">
        <v>566</v>
      </c>
    </row>
    <row r="44" customFormat="false" ht="15" hidden="false" customHeight="false" outlineLevel="0" collapsed="false">
      <c r="A44" s="4" t="n">
        <v>43</v>
      </c>
      <c r="B44" s="4" t="s">
        <v>99</v>
      </c>
      <c r="C44" s="4" t="s">
        <v>366</v>
      </c>
      <c r="D44" s="4" t="s">
        <v>34</v>
      </c>
      <c r="E44" s="4" t="s">
        <v>618</v>
      </c>
      <c r="F44" s="4" t="n">
        <v>5</v>
      </c>
      <c r="G44" s="4" t="s">
        <v>567</v>
      </c>
    </row>
    <row r="45" customFormat="false" ht="15" hidden="false" customHeight="false" outlineLevel="0" collapsed="false">
      <c r="A45" s="4" t="n">
        <v>44</v>
      </c>
      <c r="B45" s="4" t="s">
        <v>102</v>
      </c>
      <c r="C45" s="4" t="s">
        <v>552</v>
      </c>
      <c r="D45" s="4" t="s">
        <v>10</v>
      </c>
      <c r="E45" s="4" t="s">
        <v>617</v>
      </c>
      <c r="F45" s="4" t="n">
        <v>1</v>
      </c>
      <c r="G45" s="4" t="s">
        <v>576</v>
      </c>
    </row>
    <row r="46" customFormat="false" ht="15" hidden="false" customHeight="false" outlineLevel="0" collapsed="false">
      <c r="A46" s="4" t="n">
        <v>45</v>
      </c>
      <c r="B46" s="4" t="s">
        <v>102</v>
      </c>
      <c r="C46" s="4" t="s">
        <v>577</v>
      </c>
      <c r="D46" s="4" t="s">
        <v>10</v>
      </c>
      <c r="E46" s="4" t="s">
        <v>617</v>
      </c>
      <c r="F46" s="4" t="n">
        <v>1</v>
      </c>
      <c r="G46" s="4" t="s">
        <v>578</v>
      </c>
    </row>
    <row r="47" customFormat="false" ht="15" hidden="false" customHeight="false" outlineLevel="0" collapsed="false">
      <c r="A47" s="4" t="n">
        <v>46</v>
      </c>
      <c r="B47" s="4" t="s">
        <v>102</v>
      </c>
      <c r="C47" s="4" t="s">
        <v>582</v>
      </c>
      <c r="D47" s="4" t="s">
        <v>10</v>
      </c>
      <c r="E47" s="4" t="s">
        <v>618</v>
      </c>
      <c r="F47" s="4" t="n">
        <v>1</v>
      </c>
      <c r="G47" s="4" t="s">
        <v>583</v>
      </c>
    </row>
    <row r="48" customFormat="false" ht="15" hidden="false" customHeight="false" outlineLevel="0" collapsed="false">
      <c r="A48" s="4" t="n">
        <v>47</v>
      </c>
      <c r="B48" s="4" t="s">
        <v>105</v>
      </c>
      <c r="C48" s="4" t="s">
        <v>274</v>
      </c>
      <c r="D48" s="4" t="s">
        <v>10</v>
      </c>
      <c r="E48" s="4" t="s">
        <v>617</v>
      </c>
      <c r="F48" s="4" t="n">
        <v>2</v>
      </c>
      <c r="G48" s="4" t="s">
        <v>586</v>
      </c>
    </row>
    <row r="49" customFormat="false" ht="15" hidden="false" customHeight="false" outlineLevel="0" collapsed="false">
      <c r="A49" s="4" t="n">
        <v>48</v>
      </c>
      <c r="B49" s="4" t="s">
        <v>105</v>
      </c>
      <c r="C49" s="4" t="s">
        <v>587</v>
      </c>
      <c r="D49" s="4" t="s">
        <v>102</v>
      </c>
      <c r="E49" s="4" t="s">
        <v>618</v>
      </c>
      <c r="F49" s="4" t="n">
        <v>2</v>
      </c>
      <c r="G49" s="4" t="s">
        <v>588</v>
      </c>
    </row>
    <row r="50" customFormat="false" ht="15" hidden="false" customHeight="false" outlineLevel="0" collapsed="false">
      <c r="A50" s="4" t="n">
        <v>49</v>
      </c>
      <c r="B50" s="4" t="s">
        <v>105</v>
      </c>
      <c r="C50" s="4" t="s">
        <v>589</v>
      </c>
      <c r="D50" s="4" t="s">
        <v>10</v>
      </c>
      <c r="E50" s="4" t="s">
        <v>617</v>
      </c>
      <c r="F50" s="4" t="n">
        <v>2</v>
      </c>
      <c r="G50" s="4" t="s">
        <v>590</v>
      </c>
    </row>
    <row r="51" customFormat="false" ht="15" hidden="false" customHeight="false" outlineLevel="0" collapsed="false">
      <c r="A51" s="4" t="n">
        <v>50</v>
      </c>
      <c r="B51" s="4" t="s">
        <v>108</v>
      </c>
      <c r="C51" s="4" t="s">
        <v>274</v>
      </c>
      <c r="D51" s="4" t="s">
        <v>10</v>
      </c>
      <c r="E51" s="4" t="s">
        <v>617</v>
      </c>
      <c r="F51" s="4" t="n">
        <v>5</v>
      </c>
      <c r="G51" s="4"/>
    </row>
    <row r="52" customFormat="false" ht="15" hidden="false" customHeight="false" outlineLevel="0" collapsed="false">
      <c r="A52" s="4" t="n">
        <v>51</v>
      </c>
      <c r="B52" s="4" t="s">
        <v>108</v>
      </c>
      <c r="C52" s="4" t="s">
        <v>466</v>
      </c>
      <c r="D52" s="4" t="s">
        <v>56</v>
      </c>
      <c r="E52" s="4" t="s">
        <v>618</v>
      </c>
      <c r="F52" s="4" t="n">
        <v>5</v>
      </c>
      <c r="G52" s="4" t="s">
        <v>594</v>
      </c>
    </row>
    <row r="53" customFormat="false" ht="15" hidden="false" customHeight="false" outlineLevel="0" collapsed="false">
      <c r="A53" s="4" t="n">
        <v>52</v>
      </c>
      <c r="B53" s="4" t="s">
        <v>108</v>
      </c>
      <c r="C53" s="4" t="s">
        <v>587</v>
      </c>
      <c r="D53" s="4" t="s">
        <v>102</v>
      </c>
      <c r="E53" s="4" t="s">
        <v>618</v>
      </c>
      <c r="F53" s="4" t="n">
        <v>5</v>
      </c>
      <c r="G53" s="4" t="s">
        <v>595</v>
      </c>
    </row>
    <row r="54" customFormat="false" ht="15" hidden="false" customHeight="false" outlineLevel="0" collapsed="false">
      <c r="A54" s="4" t="n">
        <v>53</v>
      </c>
      <c r="B54" s="4" t="s">
        <v>108</v>
      </c>
      <c r="C54" s="4" t="s">
        <v>601</v>
      </c>
      <c r="D54" s="4" t="s">
        <v>10</v>
      </c>
      <c r="E54" s="4" t="s">
        <v>618</v>
      </c>
      <c r="F54" s="4" t="n">
        <v>5</v>
      </c>
      <c r="G54" s="4" t="s">
        <v>602</v>
      </c>
    </row>
    <row r="55" customFormat="false" ht="15" hidden="false" customHeight="false" outlineLevel="0" collapsed="false">
      <c r="A55" s="4" t="n">
        <v>54</v>
      </c>
      <c r="B55" s="4" t="s">
        <v>111</v>
      </c>
      <c r="C55" s="4" t="s">
        <v>274</v>
      </c>
      <c r="D55" s="4" t="s">
        <v>10</v>
      </c>
      <c r="E55" s="4" t="s">
        <v>617</v>
      </c>
      <c r="F55" s="4" t="n">
        <v>5</v>
      </c>
      <c r="G55" s="4"/>
    </row>
    <row r="56" customFormat="false" ht="15" hidden="false" customHeight="false" outlineLevel="0" collapsed="false">
      <c r="A56" s="4" t="n">
        <v>55</v>
      </c>
      <c r="B56" s="4" t="s">
        <v>111</v>
      </c>
      <c r="C56" s="4" t="s">
        <v>466</v>
      </c>
      <c r="D56" s="4" t="s">
        <v>56</v>
      </c>
      <c r="E56" s="4" t="s">
        <v>618</v>
      </c>
      <c r="F56" s="4" t="n">
        <v>5</v>
      </c>
      <c r="G56" s="4"/>
    </row>
    <row r="57" customFormat="false" ht="15" hidden="false" customHeight="false" outlineLevel="0" collapsed="false">
      <c r="A57" s="4" t="n">
        <v>56</v>
      </c>
      <c r="B57" s="4" t="s">
        <v>114</v>
      </c>
      <c r="C57" s="4" t="s">
        <v>274</v>
      </c>
      <c r="D57" s="4" t="s">
        <v>10</v>
      </c>
      <c r="E57" s="4" t="s">
        <v>617</v>
      </c>
      <c r="F57" s="4" t="n">
        <v>1</v>
      </c>
      <c r="G57" s="4"/>
    </row>
  </sheetData>
  <autoFilter ref="A1:G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56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27" t="s">
        <v>619</v>
      </c>
      <c r="B1" s="27" t="s">
        <v>620</v>
      </c>
      <c r="C1" s="27" t="s">
        <v>621</v>
      </c>
      <c r="D1" s="27" t="s">
        <v>622</v>
      </c>
      <c r="E1" s="27" t="s">
        <v>623</v>
      </c>
    </row>
    <row r="2" customFormat="false" ht="15" hidden="false" customHeight="false" outlineLevel="0" collapsed="false">
      <c r="A2" s="4" t="s">
        <v>624</v>
      </c>
      <c r="B2" s="4" t="s">
        <v>625</v>
      </c>
      <c r="C2" s="4" t="s">
        <v>626</v>
      </c>
      <c r="D2" s="4" t="s">
        <v>500</v>
      </c>
      <c r="E2" s="28" t="s">
        <v>627</v>
      </c>
    </row>
    <row r="3" customFormat="false" ht="15" hidden="false" customHeight="false" outlineLevel="0" collapsed="false">
      <c r="A3" s="4" t="s">
        <v>628</v>
      </c>
      <c r="B3" s="4" t="s">
        <v>629</v>
      </c>
      <c r="C3" s="4" t="s">
        <v>630</v>
      </c>
      <c r="D3" s="4" t="s">
        <v>631</v>
      </c>
      <c r="E3" s="29" t="s">
        <v>632</v>
      </c>
    </row>
    <row r="4" customFormat="false" ht="15" hidden="false" customHeight="false" outlineLevel="0" collapsed="false">
      <c r="A4" s="4" t="s">
        <v>633</v>
      </c>
      <c r="B4" s="4" t="s">
        <v>634</v>
      </c>
      <c r="C4" s="4" t="s">
        <v>635</v>
      </c>
      <c r="D4" s="4" t="s">
        <v>636</v>
      </c>
      <c r="E4" s="29" t="s">
        <v>632</v>
      </c>
    </row>
    <row r="5" customFormat="false" ht="15" hidden="false" customHeight="false" outlineLevel="0" collapsed="false">
      <c r="A5" s="4" t="s">
        <v>394</v>
      </c>
      <c r="B5" s="4" t="s">
        <v>625</v>
      </c>
      <c r="C5" s="4" t="s">
        <v>630</v>
      </c>
      <c r="D5" s="4" t="s">
        <v>392</v>
      </c>
      <c r="E5" s="28" t="s">
        <v>627</v>
      </c>
    </row>
    <row r="6" customFormat="false" ht="15" hidden="false" customHeight="false" outlineLevel="0" collapsed="false">
      <c r="A6" s="4" t="s">
        <v>637</v>
      </c>
      <c r="B6" s="4" t="s">
        <v>625</v>
      </c>
      <c r="C6" s="4" t="s">
        <v>630</v>
      </c>
      <c r="D6" s="4" t="s">
        <v>392</v>
      </c>
      <c r="E6" s="28" t="s">
        <v>627</v>
      </c>
    </row>
    <row r="7" customFormat="false" ht="15" hidden="false" customHeight="false" outlineLevel="0" collapsed="false">
      <c r="A7" s="4" t="s">
        <v>638</v>
      </c>
      <c r="B7" s="4" t="s">
        <v>639</v>
      </c>
      <c r="C7" s="4" t="s">
        <v>635</v>
      </c>
      <c r="D7" s="4" t="s">
        <v>640</v>
      </c>
      <c r="E7" s="28" t="s">
        <v>627</v>
      </c>
    </row>
    <row r="8" customFormat="false" ht="15" hidden="false" customHeight="false" outlineLevel="0" collapsed="false">
      <c r="A8" s="4" t="s">
        <v>641</v>
      </c>
      <c r="B8" s="4" t="s">
        <v>642</v>
      </c>
      <c r="C8" s="4" t="s">
        <v>643</v>
      </c>
      <c r="D8" s="4" t="s">
        <v>458</v>
      </c>
      <c r="E8" s="28" t="s">
        <v>627</v>
      </c>
    </row>
    <row r="9" customFormat="false" ht="15" hidden="false" customHeight="false" outlineLevel="0" collapsed="false">
      <c r="A9" s="4" t="s">
        <v>644</v>
      </c>
      <c r="B9" s="4" t="s">
        <v>645</v>
      </c>
      <c r="C9" s="4" t="s">
        <v>646</v>
      </c>
      <c r="D9" s="4" t="s">
        <v>647</v>
      </c>
      <c r="E9" s="28" t="s">
        <v>627</v>
      </c>
    </row>
    <row r="10" customFormat="false" ht="15" hidden="false" customHeight="false" outlineLevel="0" collapsed="false">
      <c r="A10" s="4" t="s">
        <v>648</v>
      </c>
      <c r="B10" s="4" t="s">
        <v>649</v>
      </c>
      <c r="C10" s="4" t="s">
        <v>650</v>
      </c>
      <c r="D10" s="4" t="s">
        <v>651</v>
      </c>
      <c r="E10" s="28" t="s">
        <v>627</v>
      </c>
    </row>
    <row r="11" customFormat="false" ht="15" hidden="false" customHeight="false" outlineLevel="0" collapsed="false">
      <c r="A11" s="4" t="s">
        <v>652</v>
      </c>
      <c r="B11" s="4" t="s">
        <v>625</v>
      </c>
      <c r="C11" s="4" t="s">
        <v>646</v>
      </c>
      <c r="D11" s="4" t="s">
        <v>653</v>
      </c>
      <c r="E11" s="28" t="s">
        <v>627</v>
      </c>
    </row>
    <row r="12" customFormat="false" ht="15" hidden="false" customHeight="false" outlineLevel="0" collapsed="false">
      <c r="A12" s="4" t="s">
        <v>654</v>
      </c>
      <c r="B12" s="4" t="s">
        <v>655</v>
      </c>
      <c r="C12" s="4" t="s">
        <v>635</v>
      </c>
      <c r="D12" s="4" t="s">
        <v>656</v>
      </c>
      <c r="E12" s="28" t="s">
        <v>627</v>
      </c>
    </row>
    <row r="13" customFormat="false" ht="15" hidden="false" customHeight="false" outlineLevel="0" collapsed="false">
      <c r="A13" s="4" t="s">
        <v>657</v>
      </c>
      <c r="B13" s="4" t="s">
        <v>649</v>
      </c>
      <c r="C13" s="4" t="s">
        <v>658</v>
      </c>
      <c r="D13" s="4" t="s">
        <v>259</v>
      </c>
      <c r="E13" s="28" t="s">
        <v>627</v>
      </c>
    </row>
    <row r="14" customFormat="false" ht="15" hidden="false" customHeight="false" outlineLevel="0" collapsed="false">
      <c r="A14" s="4" t="s">
        <v>659</v>
      </c>
      <c r="B14" s="4" t="s">
        <v>660</v>
      </c>
      <c r="C14" s="4" t="s">
        <v>635</v>
      </c>
      <c r="D14" s="4" t="s">
        <v>259</v>
      </c>
      <c r="E14" s="28" t="s">
        <v>627</v>
      </c>
    </row>
    <row r="15" customFormat="false" ht="15" hidden="false" customHeight="false" outlineLevel="0" collapsed="false">
      <c r="A15" s="4" t="s">
        <v>661</v>
      </c>
      <c r="B15" s="4" t="s">
        <v>662</v>
      </c>
      <c r="C15" s="4" t="s">
        <v>643</v>
      </c>
      <c r="D15" s="4" t="s">
        <v>265</v>
      </c>
      <c r="E15" s="28" t="s">
        <v>627</v>
      </c>
    </row>
    <row r="16" customFormat="false" ht="15" hidden="false" customHeight="false" outlineLevel="0" collapsed="false">
      <c r="A16" s="4" t="s">
        <v>663</v>
      </c>
      <c r="B16" s="4" t="s">
        <v>664</v>
      </c>
      <c r="C16" s="4" t="s">
        <v>643</v>
      </c>
      <c r="D16" s="4" t="s">
        <v>665</v>
      </c>
      <c r="E16" s="28" t="s">
        <v>627</v>
      </c>
    </row>
    <row r="17" customFormat="false" ht="15" hidden="false" customHeight="false" outlineLevel="0" collapsed="false">
      <c r="A17" s="4" t="s">
        <v>666</v>
      </c>
      <c r="B17" s="4" t="s">
        <v>667</v>
      </c>
      <c r="C17" s="4" t="s">
        <v>668</v>
      </c>
      <c r="D17" s="4" t="s">
        <v>669</v>
      </c>
      <c r="E17" s="28" t="s">
        <v>627</v>
      </c>
    </row>
    <row r="18" customFormat="false" ht="15" hidden="false" customHeight="false" outlineLevel="0" collapsed="false">
      <c r="A18" s="4" t="s">
        <v>449</v>
      </c>
      <c r="B18" s="4" t="s">
        <v>670</v>
      </c>
      <c r="C18" s="4" t="s">
        <v>630</v>
      </c>
      <c r="D18" s="4" t="s">
        <v>671</v>
      </c>
      <c r="E18" s="28" t="s">
        <v>627</v>
      </c>
    </row>
    <row r="19" customFormat="false" ht="15" hidden="false" customHeight="false" outlineLevel="0" collapsed="false">
      <c r="A19" s="4" t="s">
        <v>672</v>
      </c>
      <c r="B19" s="4" t="s">
        <v>625</v>
      </c>
      <c r="C19" s="4" t="s">
        <v>635</v>
      </c>
      <c r="D19" s="4" t="s">
        <v>673</v>
      </c>
      <c r="E19" s="28" t="s">
        <v>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6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30" t="s">
        <v>674</v>
      </c>
    </row>
    <row r="2" customFormat="false" ht="15" hidden="false" customHeight="false" outlineLevel="0" collapsed="false">
      <c r="A2" s="27" t="s">
        <v>675</v>
      </c>
      <c r="B2" s="27" t="s">
        <v>676</v>
      </c>
      <c r="C2" s="27" t="s">
        <v>616</v>
      </c>
    </row>
    <row r="3" customFormat="false" ht="15" hidden="false" customHeight="false" outlineLevel="0" collapsed="false">
      <c r="A3" s="31" t="s">
        <v>677</v>
      </c>
      <c r="B3" s="31" t="s">
        <v>212</v>
      </c>
      <c r="C3" s="31" t="s">
        <v>678</v>
      </c>
    </row>
    <row r="4" customFormat="false" ht="15" hidden="false" customHeight="false" outlineLevel="0" collapsed="false">
      <c r="A4" s="31" t="s">
        <v>679</v>
      </c>
      <c r="B4" s="31" t="s">
        <v>680</v>
      </c>
      <c r="C4" s="31" t="s">
        <v>681</v>
      </c>
    </row>
    <row r="5" customFormat="false" ht="15" hidden="false" customHeight="false" outlineLevel="0" collapsed="false">
      <c r="A5" s="31" t="s">
        <v>682</v>
      </c>
      <c r="B5" s="31" t="s">
        <v>335</v>
      </c>
      <c r="C5" s="31"/>
    </row>
    <row r="6" customFormat="false" ht="15" hidden="false" customHeight="false" outlineLevel="0" collapsed="false">
      <c r="A6" s="31" t="s">
        <v>683</v>
      </c>
      <c r="B6" s="31" t="s">
        <v>391</v>
      </c>
      <c r="C6" s="31" t="s">
        <v>684</v>
      </c>
    </row>
    <row r="7" customFormat="false" ht="15" hidden="false" customHeight="false" outlineLevel="0" collapsed="false">
      <c r="A7" s="31" t="s">
        <v>685</v>
      </c>
      <c r="B7" s="31" t="s">
        <v>499</v>
      </c>
      <c r="C7" s="31" t="s">
        <v>686</v>
      </c>
    </row>
    <row r="8" customFormat="false" ht="15" hidden="false" customHeight="false" outlineLevel="0" collapsed="false">
      <c r="A8" s="31" t="s">
        <v>687</v>
      </c>
      <c r="B8" s="31" t="s">
        <v>688</v>
      </c>
      <c r="C8" s="31"/>
    </row>
    <row r="9" customFormat="false" ht="15" hidden="false" customHeight="false" outlineLevel="0" collapsed="false">
      <c r="A9" s="31" t="s">
        <v>689</v>
      </c>
      <c r="B9" s="31" t="s">
        <v>244</v>
      </c>
      <c r="C9" s="31"/>
    </row>
    <row r="10" customFormat="false" ht="15" hidden="false" customHeight="false" outlineLevel="0" collapsed="false">
      <c r="A10" s="31" t="s">
        <v>690</v>
      </c>
      <c r="B10" s="31" t="s">
        <v>262</v>
      </c>
      <c r="C10" s="31" t="s">
        <v>691</v>
      </c>
    </row>
    <row r="11" customFormat="false" ht="15" hidden="false" customHeight="false" outlineLevel="0" collapsed="false">
      <c r="A11" s="31" t="s">
        <v>692</v>
      </c>
      <c r="B11" s="31" t="s">
        <v>411</v>
      </c>
      <c r="C11" s="31" t="s">
        <v>693</v>
      </c>
    </row>
    <row r="12" customFormat="false" ht="15" hidden="false" customHeight="false" outlineLevel="0" collapsed="false">
      <c r="A12" s="31" t="s">
        <v>694</v>
      </c>
      <c r="B12" s="31" t="s">
        <v>345</v>
      </c>
      <c r="C12" s="31"/>
    </row>
    <row r="13" customFormat="false" ht="15" hidden="false" customHeight="false" outlineLevel="0" collapsed="false">
      <c r="A13" s="31" t="s">
        <v>695</v>
      </c>
      <c r="B13" s="31" t="s">
        <v>225</v>
      </c>
      <c r="C13" s="31" t="s">
        <v>696</v>
      </c>
    </row>
    <row r="14" customFormat="false" ht="15" hidden="false" customHeight="false" outlineLevel="0" collapsed="false">
      <c r="A14" s="31" t="s">
        <v>697</v>
      </c>
      <c r="B14" s="31" t="s">
        <v>240</v>
      </c>
      <c r="C14" s="31" t="s">
        <v>698</v>
      </c>
    </row>
    <row r="16" customFormat="false" ht="15" hidden="false" customHeight="false" outlineLevel="0" collapsed="false">
      <c r="A16" s="30" t="s">
        <v>699</v>
      </c>
    </row>
    <row r="17" customFormat="false" ht="23.85" hidden="false" customHeight="false" outlineLevel="0" collapsed="false">
      <c r="A17" s="31" t="s">
        <v>700</v>
      </c>
    </row>
    <row r="18" customFormat="false" ht="35.05" hidden="false" customHeight="false" outlineLevel="0" collapsed="false">
      <c r="A18" s="31" t="s">
        <v>701</v>
      </c>
    </row>
    <row r="19" customFormat="false" ht="23.85" hidden="false" customHeight="false" outlineLevel="0" collapsed="false">
      <c r="A19" s="31" t="s">
        <v>702</v>
      </c>
    </row>
    <row r="20" customFormat="false" ht="35.05" hidden="false" customHeight="false" outlineLevel="0" collapsed="false">
      <c r="A20" s="31" t="s">
        <v>703</v>
      </c>
    </row>
    <row r="21" customFormat="false" ht="23.85" hidden="false" customHeight="false" outlineLevel="0" collapsed="false">
      <c r="A21" s="31" t="s">
        <v>704</v>
      </c>
    </row>
    <row r="22" customFormat="false" ht="35.05" hidden="false" customHeight="false" outlineLevel="0" collapsed="false">
      <c r="A22" s="31" t="s">
        <v>705</v>
      </c>
    </row>
    <row r="23" customFormat="false" ht="23.85" hidden="false" customHeight="false" outlineLevel="0" collapsed="false">
      <c r="A23" s="31" t="s">
        <v>706</v>
      </c>
    </row>
    <row r="24" customFormat="false" ht="35.05" hidden="false" customHeight="false" outlineLevel="0" collapsed="false">
      <c r="A24" s="31" t="s">
        <v>707</v>
      </c>
    </row>
    <row r="26" customFormat="false" ht="15" hidden="false" customHeight="false" outlineLevel="0" collapsed="false">
      <c r="A26" s="30" t="s">
        <v>708</v>
      </c>
    </row>
    <row r="27" customFormat="false" ht="15" hidden="false" customHeight="false" outlineLevel="0" collapsed="false">
      <c r="A27" s="32" t="s">
        <v>12</v>
      </c>
      <c r="B27" s="33" t="s">
        <v>709</v>
      </c>
    </row>
    <row r="28" customFormat="false" ht="15" hidden="false" customHeight="false" outlineLevel="0" collapsed="false">
      <c r="A28" s="34" t="s">
        <v>25</v>
      </c>
      <c r="B28" s="33" t="s">
        <v>710</v>
      </c>
    </row>
    <row r="29" customFormat="false" ht="15" hidden="false" customHeight="false" outlineLevel="0" collapsed="false">
      <c r="A29" s="35" t="s">
        <v>67</v>
      </c>
      <c r="B29" s="33" t="s">
        <v>711</v>
      </c>
    </row>
    <row r="31" customFormat="false" ht="15" hidden="false" customHeight="false" outlineLevel="0" collapsed="false">
      <c r="A31" s="30" t="s">
        <v>712</v>
      </c>
    </row>
    <row r="32" customFormat="false" ht="35.05" hidden="false" customHeight="false" outlineLevel="0" collapsed="false">
      <c r="A32" s="31" t="s">
        <v>713</v>
      </c>
    </row>
    <row r="33" customFormat="false" ht="23.85" hidden="false" customHeight="false" outlineLevel="0" collapsed="false">
      <c r="A33" s="31" t="s">
        <v>714</v>
      </c>
    </row>
    <row r="34" customFormat="false" ht="23.85" hidden="false" customHeight="false" outlineLevel="0" collapsed="false">
      <c r="A34" s="31" t="s">
        <v>715</v>
      </c>
    </row>
    <row r="35" customFormat="false" ht="35.05" hidden="false" customHeight="false" outlineLevel="0" collapsed="false">
      <c r="A35" s="31" t="s">
        <v>716</v>
      </c>
    </row>
    <row r="36" customFormat="false" ht="35.05" hidden="false" customHeight="false" outlineLevel="0" collapsed="false">
      <c r="A36" s="31" t="s">
        <v>717</v>
      </c>
    </row>
    <row r="37" customFormat="false" ht="35.05" hidden="false" customHeight="false" outlineLevel="0" collapsed="false">
      <c r="A37" s="31" t="s">
        <v>718</v>
      </c>
    </row>
    <row r="38" customFormat="false" ht="35.05" hidden="false" customHeight="false" outlineLevel="0" collapsed="false">
      <c r="A38" s="31" t="s">
        <v>719</v>
      </c>
    </row>
    <row r="39" customFormat="false" ht="35.05" hidden="false" customHeight="false" outlineLevel="0" collapsed="false">
      <c r="A39" s="31" t="s">
        <v>720</v>
      </c>
    </row>
    <row r="40" customFormat="false" ht="23.85" hidden="false" customHeight="false" outlineLevel="0" collapsed="false">
      <c r="A40" s="31" t="s">
        <v>721</v>
      </c>
    </row>
    <row r="41" customFormat="false" ht="23.85" hidden="false" customHeight="false" outlineLevel="0" collapsed="false">
      <c r="A41" s="31" t="s">
        <v>722</v>
      </c>
    </row>
    <row r="42" customFormat="false" ht="35.05" hidden="false" customHeight="false" outlineLevel="0" collapsed="false">
      <c r="A42" s="31" t="s">
        <v>723</v>
      </c>
    </row>
    <row r="44" customFormat="false" ht="15" hidden="false" customHeight="false" outlineLevel="0" collapsed="false">
      <c r="A44" s="30" t="s">
        <v>724</v>
      </c>
    </row>
    <row r="45" customFormat="false" ht="46.25" hidden="false" customHeight="false" outlineLevel="0" collapsed="false">
      <c r="A45" s="31" t="s">
        <v>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2026-10-29T02:02:26Z</dcterms:created>
  <dc:creator>openpyxl</dc:creator>
  <dc:description/>
  <dc:language>en-US</dc:language>
  <cp:lastModifiedBy/>
  <dcterms:modified xsi:type="dcterms:W3CDTF">2026-10-29T02:02:26Z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